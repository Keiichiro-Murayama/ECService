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ullness\Downloads\"/>
    </mc:Choice>
  </mc:AlternateContent>
  <xr:revisionPtr revIDLastSave="0" documentId="8_{4D5D2663-A7DF-424B-99C4-52CD021782F1}" xr6:coauthVersionLast="47" xr6:coauthVersionMax="47" xr10:uidLastSave="{00000000-0000-0000-0000-000000000000}"/>
  <bookViews>
    <workbookView xWindow="28680" yWindow="-120" windowWidth="29040" windowHeight="15720" tabRatio="500" xr2:uid="{00000000-000D-0000-FFFF-FFFF00000000}"/>
  </bookViews>
  <sheets>
    <sheet name="アカウント登録" sheetId="8" r:id="rId1"/>
    <sheet name="未登録社員取得" sheetId="5" r:id="rId2"/>
    <sheet name="認証" sheetId="12" r:id="rId3"/>
    <sheet name="商品登録" sheetId="15" r:id="rId4"/>
    <sheet name="検索" sheetId="1" r:id="rId5"/>
    <sheet name="修正" sheetId="6" r:id="rId6"/>
    <sheet name="削除" sheetId="2" r:id="rId7"/>
    <sheet name="詳細取得" sheetId="10" r:id="rId8"/>
    <sheet name="カテゴリ取得 " sheetId="13" r:id="rId9"/>
    <sheet name="カテゴリ登録" sheetId="14" r:id="rId10"/>
  </sheets>
  <definedNames>
    <definedName name="_xlnm.Print_Titles" localSheetId="0">アカウント登録!$5:$5</definedName>
    <definedName name="_xlnm.Print_Titles" localSheetId="8">'カテゴリ取得 '!$5:$5</definedName>
    <definedName name="_xlnm.Print_Titles" localSheetId="9">カテゴリ登録!$5:$5</definedName>
    <definedName name="_xlnm.Print_Titles" localSheetId="4">検索!$5:$5</definedName>
    <definedName name="_xlnm.Print_Titles" localSheetId="6">削除!$5:$5</definedName>
    <definedName name="_xlnm.Print_Titles" localSheetId="5">修正!$5:$5</definedName>
    <definedName name="_xlnm.Print_Titles" localSheetId="3">商品登録!$5:$5</definedName>
    <definedName name="_xlnm.Print_Titles" localSheetId="7">詳細取得!$5:$5</definedName>
    <definedName name="_xlnm.Print_Titles" localSheetId="2">認証!$5:$5</definedName>
    <definedName name="_xlnm.Print_Titles" localSheetId="1">未登録社員取得!$5:$5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1" i="15" l="1"/>
  <c r="C31" i="14"/>
  <c r="C12" i="13"/>
  <c r="C12" i="5"/>
  <c r="C19" i="12"/>
  <c r="C39" i="10"/>
  <c r="C31" i="8"/>
  <c r="C21" i="6"/>
  <c r="C18" i="1"/>
  <c r="C12" i="2"/>
</calcChain>
</file>

<file path=xl/sharedStrings.xml><?xml version="1.0" encoding="utf-8"?>
<sst xmlns="http://schemas.openxmlformats.org/spreadsheetml/2006/main" count="1338" uniqueCount="572">
  <si>
    <r>
      <rPr>
        <b/>
        <sz val="15"/>
        <color rgb="FF1E8A4C"/>
        <rFont val="Noto Sans CJK SC"/>
        <family val="2"/>
      </rPr>
      <t>結合テスト仕様書　フルネス文具</t>
    </r>
    <r>
      <rPr>
        <b/>
        <sz val="15"/>
        <color rgb="FF1E8A4C"/>
        <rFont val="メイリオ"/>
        <family val="3"/>
        <charset val="128"/>
      </rPr>
      <t xml:space="preserve">EC </t>
    </r>
    <r>
      <rPr>
        <b/>
        <sz val="15"/>
        <color rgb="FF1E8A4C"/>
        <rFont val="Noto Sans CJK SC"/>
        <family val="2"/>
      </rPr>
      <t>開発演習　記入例（サンプル）</t>
    </r>
  </si>
  <si>
    <t>※これは記入例です。次のシート「記入用」に、チームのテスト仕様を作成してください。</t>
  </si>
  <si>
    <t>チーム名：</t>
  </si>
  <si>
    <t>作成者：</t>
  </si>
  <si>
    <t>作成日：</t>
  </si>
  <si>
    <t>No.</t>
  </si>
  <si>
    <r>
      <rPr>
        <b/>
        <sz val="10"/>
        <color rgb="FFFFFFFF"/>
        <rFont val="Noto Sans CJK SC"/>
        <family val="2"/>
      </rPr>
      <t>テスト</t>
    </r>
    <r>
      <rPr>
        <b/>
        <sz val="10"/>
        <color rgb="FFFFFFFF"/>
        <rFont val="メイリオ"/>
        <family val="3"/>
        <charset val="128"/>
      </rPr>
      <t>ID</t>
    </r>
  </si>
  <si>
    <r>
      <rPr>
        <b/>
        <sz val="10"/>
        <color rgb="FFFFFFFF"/>
        <rFont val="Noto Sans CJK SC"/>
        <family val="2"/>
      </rPr>
      <t>対象（画面／</t>
    </r>
    <r>
      <rPr>
        <b/>
        <sz val="10"/>
        <color rgb="FFFFFFFF"/>
        <rFont val="メイリオ"/>
        <family val="3"/>
        <charset val="128"/>
      </rPr>
      <t>API</t>
    </r>
    <r>
      <rPr>
        <b/>
        <sz val="10"/>
        <color rgb="FFFFFFFF"/>
        <rFont val="Noto Sans CJK SC"/>
        <family val="2"/>
      </rPr>
      <t>）</t>
    </r>
  </si>
  <si>
    <t>テスト観点</t>
  </si>
  <si>
    <t>事前条件</t>
  </si>
  <si>
    <t>操作手順</t>
  </si>
  <si>
    <t>入力値（リクエスト）</t>
  </si>
  <si>
    <t>期待結果（レスポンス／画面）</t>
  </si>
  <si>
    <t>実測結果</t>
  </si>
  <si>
    <t>判定</t>
  </si>
  <si>
    <t>実施者</t>
  </si>
  <si>
    <t>実施日</t>
  </si>
  <si>
    <t>備考</t>
  </si>
  <si>
    <t>IT-001</t>
  </si>
  <si>
    <t>担当者でログイン済み</t>
  </si>
  <si>
    <t>201 Created</t>
  </si>
  <si>
    <t>OK</t>
  </si>
  <si>
    <t>IT-002</t>
  </si>
  <si>
    <t>判定集計</t>
  </si>
  <si>
    <t>API：GET /api/admin/employees/unregistered</t>
  </si>
  <si>
    <t>未登録社員一覧を取得できる</t>
  </si>
  <si>
    <t>アカウント未登録社員が2名以上存在する</t>
  </si>
  <si>
    <t>未登録社員一覧取得APIを実行する</t>
  </si>
  <si>
    <t>なし</t>
  </si>
  <si>
    <t>200が返り、未登録社員一覧が取得できる</t>
  </si>
  <si>
    <t>{ "employees": [
 { "employeeUuid": "2251a8e3-2eaf-4833-9053-f61035436ced", 
"employeeName": "鈴木 一郎" } ] }</t>
  </si>
  <si>
    <t>小川</t>
  </si>
  <si>
    <t>未登録社員が存在しない</t>
  </si>
  <si>
    <t>アカウント未登録社員が存在しない</t>
  </si>
  <si>
    <t>200が返り、未登録社員一覧が0件で返却される</t>
  </si>
  <si>
    <t>空のリストが返った</t>
  </si>
  <si>
    <r>
      <rPr>
        <b/>
        <sz val="15"/>
        <color rgb="FF1E8A4C"/>
        <rFont val="Noto Sans CJK SC"/>
      </rPr>
      <t>結合テスト仕様書　フルネス文具</t>
    </r>
    <r>
      <rPr>
        <b/>
        <sz val="15"/>
        <color rgb="FF1E8A4C"/>
        <rFont val="メイリオ"/>
        <family val="3"/>
        <charset val="128"/>
      </rPr>
      <t xml:space="preserve">EC </t>
    </r>
    <r>
      <rPr>
        <b/>
        <sz val="15"/>
        <color rgb="FF1E8A4C"/>
        <rFont val="Noto Sans CJK SC"/>
      </rPr>
      <t>開発演習　</t>
    </r>
  </si>
  <si>
    <t>ワタナベスト</t>
  </si>
  <si>
    <t>2026/07/13~</t>
  </si>
  <si>
    <t>IT-SEA-001</t>
  </si>
  <si>
    <t>API：GET /api/admin/products</t>
  </si>
  <si>
    <t>カテゴリ未指定時に削除されていない全商品を取得できる</t>
  </si>
  <si>
    <t>担当者でログイン済み。有効なaccess_token Cookieを保持。テストDBに未削除商品3件と削除済み商品1件を登録済み。</t>
  </si>
  <si>
    <t>categoryUuidを付けずに商品検索APIを呼び出す。</t>
  </si>
  <si>
    <t>categoryUuid=未指定
Authorization: Bearer {有効なJWT}</t>
  </si>
  <si>
    <t>200 OK
未削除の商品一覧が配列で返る
削除済み商品は含まれない</t>
  </si>
  <si>
    <t>200 OK [{"productUuid":"登録済み商品UUID","productName":"商品名","price":1000,"imageUrl":"画像URL"}] が返る</t>
  </si>
  <si>
    <t>小倉</t>
  </si>
  <si>
    <t>IT-SEA-002</t>
  </si>
  <si>
    <t>API：GET /api/admin/products?categoryUuid={存在するカテゴリUUID}</t>
  </si>
  <si>
    <t>存在するカテゴリUUIDを指定して該当商品だけ取得できる</t>
  </si>
  <si>
    <t>担当者でログイン済み。カテゴリA（11111111-1111-1111-1111-111111111111）に未削除商品2件を登録済み。</t>
  </si>
  <si>
    <t>カテゴリAのUUIDを指定して商品検索APIを呼び出す。</t>
  </si>
  <si>
    <t>categoryUuid=11111111-1111-1111-1111-111111111111
Authorization: Bearer {有効なJWT}</t>
  </si>
  <si>
    <t>200 OK
指定カテゴリの商品一覧が配列で返る</t>
  </si>
  <si>
    <t>200 OK [{"productUuid":"指定カテゴリに属する商品UUID","productName":"商品名","price":1000,"imageUrl":"画像URL"}] が返る</t>
  </si>
  <si>
    <t>IT-SEA-003</t>
  </si>
  <si>
    <t>商品が存在しないカテゴリでは空配列を返す</t>
  </si>
  <si>
    <t>担当者でログイン済み。カテゴリC（33333333-3333-3333-3333-333333333333）は登録済みだが、所属する未削除商品は0件。</t>
  </si>
  <si>
    <t>カテゴリCのUUIDを指定して商品検索APIを呼び出す。</t>
  </si>
  <si>
    <t>categoryUuid=33333333-3333-3333-3333-333333333333
Authorization: Bearer {有効なJWT}</t>
  </si>
  <si>
    <t>200 OK
[] が返る</t>
  </si>
  <si>
    <t>IT-SEA-004</t>
  </si>
  <si>
    <t>API：GET /api/admin/products?categoryUuid=</t>
  </si>
  <si>
    <t>categoryUuidが空文字の場合に全商品を取得できる</t>
  </si>
  <si>
    <t>担当者でログイン済み。テストDBに未削除商品3件を登録済み。</t>
  </si>
  <si>
    <t>categoryUuidを空文字で指定して商品検索APIを呼び出す。</t>
  </si>
  <si>
    <t>categoryUuid=空文字
Authorization: Bearer {有効なJWT}</t>
  </si>
  <si>
    <t>200 OK
未削除の商品一覧が配列で返る</t>
  </si>
  <si>
    <t>IT-SEA-005</t>
  </si>
  <si>
    <t>API：GET /api/admin/products?categoryUuid=invalid-uuid</t>
  </si>
  <si>
    <t>カテゴリUUIDがUUID形式でない場合に400を返す</t>
  </si>
  <si>
    <t>担当者でログイン済み。有効なaccess_token Cookieを保持。</t>
  </si>
  <si>
    <t>UUID形式ではないcategoryUuidを指定して商品検索APIを呼び出す。</t>
  </si>
  <si>
    <t>categoryUuid=invalid-uuid
Authorization: Bearer {有効なJWT}</t>
  </si>
  <si>
    <t>400 Bad Request
{"message":"カテゴリUUIDの形式が正しくありません。"} が返る</t>
  </si>
  <si>
    <t>"400 Bad Request
{""message"":""カテゴリUUIDの形式が正しくありません。""} が返る"</t>
  </si>
  <si>
    <t>IT-SEA-006</t>
  </si>
  <si>
    <t>API：GET /api/admin/products?categoryUuid={存在しないカテゴリUUID}</t>
  </si>
  <si>
    <t>UUID形式は正しいが存在しないカテゴリの場合に404を返す</t>
  </si>
  <si>
    <t>担当者でログイン済み。カテゴリUUID 99999999-9999-9999-9999-999999999999 はDBに存在しない。</t>
  </si>
  <si>
    <t>存在しないカテゴリUUIDを指定して商品検索APIを呼び出す。</t>
  </si>
  <si>
    <t>categoryUuid=99999999-9999-9999-9999-999999999999
Authorization: Bearer {有効なJWT}</t>
  </si>
  <si>
    <t>404 Not Found
{"message":"指定されたカテゴリID（UUID）が存在しません。"} が返る</t>
  </si>
  <si>
    <t>IT-SEA-007</t>
  </si>
  <si>
    <t>認証Cookieなしでアクセスした場合に401を返す</t>
  </si>
  <si>
    <t>access_token Cookieを保持していない。</t>
  </si>
  <si>
    <t>Cookieを付けずに商品検索APIを呼び出す。</t>
  </si>
  <si>
    <t>categoryUuid=未指定
Authorizationヘッダーなし</t>
  </si>
  <si>
    <t>401 Unauthorized
{"message":"認証が必要です。ログインしてください。"} が返る</t>
  </si>
  <si>
    <t>IT-SEA-008</t>
  </si>
  <si>
    <t>無効なJWTでアクセスした場合に401を返す</t>
  </si>
  <si>
    <t>署名・発行者・利用者のいずれかが不正なJWTを用意する。</t>
  </si>
  <si>
    <t>無効なJWTをaccess_token Cookieに設定して商品検索APIを呼び出す。</t>
  </si>
  <si>
    <t>categoryUuid=未指定
Authorization: Bearer {無効なJWT}</t>
  </si>
  <si>
    <t>IT-SEA-009</t>
  </si>
  <si>
    <t>期限切れJWTでアクセスした場合に401を返す</t>
  </si>
  <si>
    <t>有効期限を過ぎたJWTを用意する。ClockSkewは0秒に設定済み。</t>
  </si>
  <si>
    <t>期限切れJWTをaccess_token Cookieに設定して商品検索APIを呼び出す。</t>
  </si>
  <si>
    <t>categoryUuid=未指定
Authorization: Bearer {期限切れJWT}</t>
  </si>
  <si>
    <t>IT-SEA-010</t>
  </si>
  <si>
    <t>API：GET /api/admin/products?categoryUuid={削除済み商品を含むカテゴリUUID}</t>
  </si>
  <si>
    <t>論理削除済みの商品が検索結果に含まれない</t>
  </si>
  <si>
    <t>担当者でログイン済み。カテゴリAに未削除商品2件と、DeleteFlag=1の商品（dddddddd-dddd-dddd-dddd-dddddddddddd）1件を登録済み。</t>
  </si>
  <si>
    <t>200 OK
未削除商品のみ返る
削除済み商品のUUIDは含まれない</t>
  </si>
  <si>
    <t>IT-SEA-011</t>
  </si>
  <si>
    <t>商品一覧レスポンスの項目名と型が仕様どおりである</t>
  </si>
  <si>
    <t>担当者でログイン済み。カテゴリAに未削除商品を登録済み。</t>
  </si>
  <si>
    <t>カテゴリAを指定して商品検索APIを呼び出し、レスポンス配列内の各オブジェクトを確認する。</t>
  </si>
  <si>
    <t>200 OK
各商品に productUuid、productName、price、imageUrl が含まれる</t>
  </si>
  <si>
    <t>IT-SEA-012</t>
  </si>
  <si>
    <t>DB接続エラー時に500を返す</t>
  </si>
  <si>
    <t>担当者でログイン済み。PostgreSQLを停止するか、テスト用に接続不能な接続文字列を設定する。</t>
  </si>
  <si>
    <t>categoryUuid=未指定
Authorization: Bearer {有効なJWT}
DB接続不可</t>
  </si>
  <si>
    <t>500 Internal Server Error
{"message":"InternalException: サーバー内部で予期せぬエラーが発生しました。"} が返る</t>
  </si>
  <si>
    <r>
      <rPr>
        <b/>
        <sz val="15"/>
        <color rgb="FF1E8A4C"/>
        <rFont val="Noto Sans CJK SC"/>
        <family val="2"/>
      </rPr>
      <t>結合テスト仕様書　フルネス文具</t>
    </r>
    <r>
      <rPr>
        <b/>
        <sz val="15"/>
        <color rgb="FF1E8A4C"/>
        <rFont val="メイリオ"/>
        <family val="3"/>
        <charset val="128"/>
      </rPr>
      <t xml:space="preserve">EC </t>
    </r>
    <r>
      <rPr>
        <b/>
        <sz val="15"/>
        <color rgb="FF1E8A4C"/>
        <rFont val="Noto Sans CJK SC"/>
        <family val="2"/>
      </rPr>
      <t>開発演習　記入用</t>
    </r>
  </si>
  <si>
    <r>
      <rPr>
        <sz val="9"/>
        <color rgb="FF555555"/>
        <rFont val="メイリオ"/>
        <family val="3"/>
        <charset val="128"/>
      </rPr>
      <t>※1</t>
    </r>
    <r>
      <rPr>
        <sz val="9"/>
        <color rgb="FF555555"/>
        <rFont val="Noto Sans CJK SC"/>
        <family val="2"/>
      </rPr>
      <t>枚目の記入例を参考に、チームでテストケースを洗い出して作成してください。</t>
    </r>
  </si>
  <si>
    <t>IT-DEL-001</t>
  </si>
  <si>
    <t>API：DELETE /api/admin/products/productUuid= {登録済みのUUID}</t>
  </si>
  <si>
    <t>登録済み・未削除の商品を正常に削除できる</t>
  </si>
  <si>
    <t>有効な担当者JWTを取得済み。対象商品がDeleteFlag=0でDBに登録済み</t>
  </si>
  <si>
    <t>Authorizationヘッダーを付け、対象商品のUUIDでDELETE APIを呼び出す</t>
  </si>
  <si>
    <t>productUuid=登録済みUUID
Authorization: Bearer {有効なJWT}</t>
  </si>
  <si>
    <t>200 OK
{"message":"商品を削除しました。"} が返る</t>
  </si>
  <si>
    <t>IT-DEL-002</t>
  </si>
  <si>
    <t>API：DELETE /api/admin/products/productUuid= {}</t>
  </si>
  <si>
    <t>同一商品を再度削除した場合は404になる</t>
  </si>
  <si>
    <t>対象商品を1回削除済み。有効な担当者JWTを取得済み</t>
  </si>
  <si>
    <t>削除済み商品のUUIDで再度DELETE APIを呼び出す</t>
  </si>
  <si>
    <t>productUuid=削除済みUUID
Authorization: Bearer {有効なJWT}</t>
  </si>
  <si>
    <t>404 Not Found
{"message":"指定された商品が見つかりません。"} が返る</t>
  </si>
  <si>
    <t>IT-DEL-003</t>
  </si>
  <si>
    <t>形式が正しい未登録UUIDを指定した場合は404になる</t>
  </si>
  <si>
    <t>有効な担当者JWTを取得済み。指定UUIDがDBに存在しない</t>
  </si>
  <si>
    <t>未登録UUIDでDELETE APIを呼び出す</t>
  </si>
  <si>
    <t>productUuid=00ecfe89-7130-4282-b7e8-2dcdbf7192dd
Authorization: Bearer {有効なJWT}</t>
  </si>
  <si>
    <t>IT-DEL-004</t>
  </si>
  <si>
    <t>API：DELETE /api/admin/products/{productUuid}</t>
  </si>
  <si>
    <t>UUID形式が不正な場合は400になる</t>
  </si>
  <si>
    <t>有効な担当者JWTを取得済み</t>
  </si>
  <si>
    <t>UUID形式ではない値でDELETE APIを呼び出す</t>
  </si>
  <si>
    <t>productUuid=invalid-uuid
Authorization: Bearer {有効なJWT}</t>
  </si>
  <si>
    <t>400 Bad Request
{"message":"商品UUIDの形式が正しくありません。"} が返る</t>
  </si>
  <si>
    <t>IT-DEL-005</t>
  </si>
  <si>
    <t>認証トークンなしでは削除できない</t>
  </si>
  <si>
    <t>対象商品がDeleteFlag=0でDBに登録済み</t>
  </si>
  <si>
    <t>Authorizationヘッダーを付けずにDELETE APIを呼び出す</t>
  </si>
  <si>
    <t>productUuid=登録済みUUID
Authorizationヘッダーなし</t>
  </si>
  <si>
    <t>401 Unauthorized。商品は削除されず、DeleteFlagは0のまま</t>
  </si>
  <si>
    <t>401 Unauthorize{  "message": "認証が必要です。ログインしてください。"}</t>
  </si>
  <si>
    <t>IT-DEL-006</t>
  </si>
  <si>
    <t>無効なJWTでは削除できない</t>
  </si>
  <si>
    <t>無効または期限切れのJWTを付けてDELETE APIを呼び出す</t>
  </si>
  <si>
    <t>productUuid=登録済みUUID
Authorization: Bearer {無効なJWT}</t>
  </si>
  <si>
    <r>
      <rPr>
        <b/>
        <sz val="15"/>
        <color rgb="FF1E8A4C"/>
        <rFont val="ＭＳ ゴシック"/>
        <family val="3"/>
        <charset val="128"/>
      </rPr>
      <t>結合テスト仕様書　フルネス文具</t>
    </r>
    <r>
      <rPr>
        <b/>
        <sz val="15"/>
        <color rgb="FF1E8A4C"/>
        <rFont val="メイリオ"/>
        <family val="3"/>
        <charset val="128"/>
      </rPr>
      <t xml:space="preserve">EC </t>
    </r>
    <r>
      <rPr>
        <b/>
        <sz val="15"/>
        <color rgb="FF1E8A4C"/>
        <rFont val="ＭＳ ゴシック"/>
        <family val="3"/>
        <charset val="128"/>
      </rPr>
      <t>開発演習　demo</t>
    </r>
    <phoneticPr fontId="12"/>
  </si>
  <si>
    <t>石原</t>
  </si>
  <si>
    <t>IT-INFO-001</t>
  </si>
  <si>
    <t>API：GET /api/admin/products/info?productUuId={productUuId}</t>
  </si>
  <si>
    <t>商品詳細取得APIが正常に成功する</t>
  </si>
  <si>
    <t>対象商品がDBに登録済み。対象商品のdeleteFlag=0。</t>
  </si>
  <si>
    <t>SwaggerまたはAPIクライアントで商品詳細取得APIを呼び出す。</t>
  </si>
  <si>
    <t>productUuId="既存商品のUUID"</t>
  </si>
  <si>
    <t>200 OK。productUuid・productName・price・stock・categoryId・imageUrlが返る。</t>
  </si>
  <si>
    <t>IT-INFO-002</t>
  </si>
  <si>
    <t>レスポンスの商品UUIDが指定したUUIDと一致する</t>
  </si>
  <si>
    <t>対象商品がDBに登録済み。</t>
  </si>
  <si>
    <t>既存商品のproductUuIdを指定して商品詳細取得APIを呼び出す。</t>
  </si>
  <si>
    <t>200 OK。レスポンスのproductUuidがリクエストで指定したUUIDと一致する。</t>
  </si>
  <si>
    <t>IT-INFO-003</t>
  </si>
  <si>
    <t>商品名・価格・画像URLがDBの値と一致する</t>
  </si>
  <si>
    <t>商品詳細取得APIを呼び出し、DBの商品情報とレスポンスを比較する。</t>
  </si>
  <si>
    <t>200 OK。productName・price・imageUrlがDBのproductテーブルの値と一致する。</t>
  </si>
  <si>
    <t>IT-INFO-004</t>
  </si>
  <si>
    <t>在庫数がDBの在庫情報と一致する</t>
  </si>
  <si>
    <t>対象商品と在庫情報がDBに登録済み。</t>
  </si>
  <si>
    <t>商品詳細取得APIを呼び出し、DBの商品在庫数とレスポンスを比較する。</t>
  </si>
  <si>
    <t>200 OK。stockがDBのproduct_stockテーブルの在庫数と一致する。</t>
  </si>
  <si>
    <t>IT-INFO-005</t>
  </si>
  <si>
    <t>カテゴリIDがDBのカテゴリ情報と一致する</t>
  </si>
  <si>
    <t>対象商品とカテゴリがDBに登録済み。</t>
  </si>
  <si>
    <t>商品詳細取得APIを呼び出し、DBの商品カテゴリUUIDとレスポンスを比較する。</t>
  </si>
  <si>
    <t>200 OK。categoryIdがDBのカテゴリUUIDと一致する。</t>
  </si>
  <si>
    <t>IT-INFO-006</t>
  </si>
  <si>
    <t>存在しない商品UUIDの場合は404になる</t>
  </si>
  <si>
    <t>指定するproductUuIdの商品がDBに存在しない。</t>
  </si>
  <si>
    <t>存在しないproductUuIdを指定して商品詳細取得APIを呼び出す。</t>
  </si>
  <si>
    <t>productUuId="存在しないUUID"</t>
  </si>
  <si>
    <t>404 Not Found。商品が見つからない旨のメッセージが返る。</t>
  </si>
  <si>
    <t>IT-INFO-007</t>
  </si>
  <si>
    <t>商品UUID形式が不正な場合は400になる</t>
  </si>
  <si>
    <t>なし。</t>
  </si>
  <si>
    <t>productUuIdにUUID形式ではない文字列を指定して商品詳細取得APIを呼び出す。</t>
  </si>
  <si>
    <t>productUuId="invalid-uuid"</t>
  </si>
  <si>
    <t>400 Bad Request。商品UUIDの形式が不正である旨のエラーメッセージが返る。</t>
  </si>
  <si>
    <t>IT-INFO-008</t>
  </si>
  <si>
    <t>商品UUIDが空の場合は400になる</t>
  </si>
  <si>
    <t>productUuIdに空文字を指定して商品詳細取得APIを呼び出す。</t>
  </si>
  <si>
    <t>productUuId=""</t>
  </si>
  <si>
    <t>IT-INFO-009</t>
  </si>
  <si>
    <t>商品UUID未指定の場合は400になる</t>
  </si>
  <si>
    <t>productUuIdを指定せずに商品詳細取得APIを呼び出す。</t>
  </si>
  <si>
    <t>クエリパラメータなし</t>
  </si>
  <si>
    <t>400 Bad Request。必須パラメータ不足または商品UUID形式不正としてエラーが返る。</t>
  </si>
  <si>
    <t>IT-INFO-010</t>
  </si>
  <si>
    <t>削除済み商品は取得対象にならない</t>
  </si>
  <si>
    <t>deleteFlag=1の商品がDBに存在する。</t>
  </si>
  <si>
    <t>削除済み商品のproductUuIdを指定して商品詳細取得APIを呼び出す。</t>
  </si>
  <si>
    <t>productUuId="削除済み商品のUUID"</t>
  </si>
  <si>
    <t>404 Not Found。削除済み商品は詳細取得されない。</t>
  </si>
  <si>
    <t>IT-INFO-011</t>
  </si>
  <si>
    <t>価格が0円の商品でも取得できる</t>
  </si>
  <si>
    <t>price=0の商品がDBに登録済み。</t>
  </si>
  <si>
    <t>price=0商品のproductUuIdを指定して商品詳細取得APIを呼び出す。</t>
  </si>
  <si>
    <t>productUuId="価格0円商品のUUID"</t>
  </si>
  <si>
    <t>200 OK。priceが0として返る。</t>
  </si>
  <si>
    <t>IT-INFO-012</t>
  </si>
  <si>
    <t>在庫数が0の商品でも取得できる</t>
  </si>
  <si>
    <t>stock=0の商品がDBに登録済み。</t>
  </si>
  <si>
    <t>stock=0商品のproductUuIdを指定して商品詳細取得APIを呼び出す。</t>
  </si>
  <si>
    <t>productUuId="在庫0商品のUUID"</t>
  </si>
  <si>
    <t>200 OK。stockが0として返る。</t>
  </si>
  <si>
    <t>IT-INFO-013</t>
  </si>
  <si>
    <t>余分なクエリパラメータがあっても取得できる</t>
  </si>
  <si>
    <t>productUuIdに加えて不要なクエリパラメータを付与して商品詳細取得APIを呼び出す。</t>
  </si>
  <si>
    <t>productUuId="既存商品のUUID"&amp;dummy=1</t>
  </si>
  <si>
    <t>200 OK。productUuIdに該当する商品詳細が返る。</t>
  </si>
  <si>
    <t>IT-INFO-014</t>
  </si>
  <si>
    <t>API：POST /api/admin/products/info?productUuId={productUuId}</t>
  </si>
  <si>
    <t>許可されていないHTTPメソッドでは取得できない</t>
  </si>
  <si>
    <t>GETではなくPOSTで商品詳細取得APIのURLを呼び出す。</t>
  </si>
  <si>
    <t>POST /api/admin/products/info?productUuId="既存商品のUUID"</t>
  </si>
  <si>
    <t>405 Method Not Allowed。GET以外では商品詳細を取得できない。</t>
  </si>
  <si>
    <t>IT-INFO-015</t>
  </si>
  <si>
    <t>商品修正後の内容が詳細取得に反映される</t>
  </si>
  <si>
    <t>商品修正APIで商品情報を変更後、同じproductUuIdで商品詳細取得APIを呼び出す。</t>
  </si>
  <si>
    <t>修正API：正常な修正値、詳細取得API：同じproductUuId</t>
  </si>
  <si>
    <t>200 OK。修正後の商品名・価格・在庫数・カテゴリID・画像URLが返る。</t>
  </si>
  <si>
    <t>IT-UPDATE-001</t>
  </si>
  <si>
    <t>API：PUT /api/admin/products/update?productUuid={productUuid}</t>
  </si>
  <si>
    <t>商品修正APIが正常に成功する</t>
  </si>
  <si>
    <t>対象商品・変更先カテゴリがDBに登録済み。対象商品のdeleteFlag=0。</t>
  </si>
  <si>
    <t>SwaggerまたはAPIクライアントで商品修正APIを呼び出す。呼び出し後、商品詳細取得APIまたはDBで更新内容を確認する。</t>
  </si>
  <si>
    <t>{ productName:"修正商品A", price:1500, stock:20, categoryId:"既存カテゴリUUID", imageUrl:"https://example.com/update.png" }</t>
  </si>
  <si>
    <t>200 OK。レスポンスに「商品情報を更新しました。」が返る。DBの商品名・価格・在庫数・カテゴリ・画像URLが更新される。</t>
  </si>
  <si>
    <t>IT-UPDATE-002</t>
  </si>
  <si>
    <t>商品名のみ変更した場合にDBへ反映される</t>
  </si>
  <si>
    <t>商品名だけ変更した内容で修正APIを呼び出し、商品詳細取得APIで商品名を確認する。</t>
  </si>
  <si>
    <t>{ productName:"商品名変更テスト", price:"既存価格", stock:"既存在庫", categoryId:"既存カテゴリUUID", imageUrl:"既存画像URL" }</t>
  </si>
  <si>
    <t>200 OK。商品詳細取得APIのレスポンスでproductNameが変更後の値になる。</t>
  </si>
  <si>
    <t>IT-UPDATE-003</t>
  </si>
  <si>
    <t>価格のみ変更した場合にDBへ反映される</t>
  </si>
  <si>
    <t>価格だけ変更した内容で修正APIを呼び出し、商品詳細取得APIで価格を確認する。</t>
  </si>
  <si>
    <t>{ productName:"既存商品名", price:9999, stock:"既存在庫", categoryId:"既存カテゴリUUID", imageUrl:"既存画像URL" }</t>
  </si>
  <si>
    <t>200 OK。商品詳細取得APIのレスポンスでpriceが9999になる。</t>
  </si>
  <si>
    <t>IT-UPDATE-004</t>
  </si>
  <si>
    <t>在庫数のみ変更した場合にDBへ反映される</t>
  </si>
  <si>
    <t>在庫数だけ変更した内容で修正APIを呼び出し、商品詳細取得APIで在庫数を確認する。</t>
  </si>
  <si>
    <t>{ productName:"既存商品名", price:"既存価格", stock:0, categoryId:"既存カテゴリUUID", imageUrl:"既存画像URL" }</t>
  </si>
  <si>
    <t>200 OK。商品詳細取得APIのレスポンスでstockが0になる。</t>
  </si>
  <si>
    <t>IT-UPDATE-005</t>
  </si>
  <si>
    <t>カテゴリを変更した場合にDBへ反映される</t>
  </si>
  <si>
    <t>対象商品と変更先カテゴリがDBに登録済み。</t>
  </si>
  <si>
    <t>categoryIdに変更先カテゴリUUIDを指定して修正APIを呼び出し、商品詳細取得APIでカテゴリIDを確認する。</t>
  </si>
  <si>
    <t>{ productName:"既存商品名", price:"既存価格", stock:"既存在庫", categoryId:"変更先カテゴリUUID", imageUrl:"既存画像URL" }</t>
  </si>
  <si>
    <t>200 OK。商品詳細取得APIのレスポンスでcategoryIdが変更先カテゴリUUIDになる。</t>
  </si>
  <si>
    <t>IT-UPDATE-006</t>
  </si>
  <si>
    <t>存在しない商品UUIDの場合はエラーになる</t>
  </si>
  <si>
    <t>指定するproductUuidの商品がDBに存在しない。</t>
  </si>
  <si>
    <t>存在しないproductUuidを指定して商品修正APIを呼び出す。</t>
  </si>
  <si>
    <t>productUuid="存在しないUUID"、bodyは正常値</t>
  </si>
  <si>
    <t>400 Bad Request。商品が見つからない旨のエラーメッセージが返る。DBは更新されない。</t>
  </si>
  <si>
    <t>IT-UPDATE-007</t>
  </si>
  <si>
    <t>商品UUID形式が不正な場合はエラーになる</t>
  </si>
  <si>
    <t>productUuidにUUID形式ではない文字列を指定して商品修正APIを呼び出す。</t>
  </si>
  <si>
    <t>productUuid="invalid-uuid"、bodyは正常値</t>
  </si>
  <si>
    <t>IT-UPDATE-008</t>
  </si>
  <si>
    <t>商品名が空の場合は入力エラーになる</t>
  </si>
  <si>
    <t>productNameを空文字にして商品修正APIを呼び出す。</t>
  </si>
  <si>
    <t>{ productName:"", price:1500, stock:20, categoryId:"既存カテゴリUUID", imageUrl:"https://example.com/update.png" }</t>
  </si>
  <si>
    <t>400 Bad Request。商品名を入力する旨のエラーメッセージが返る。DBは更新されない。</t>
  </si>
  <si>
    <t>IT-UPDATE-009</t>
  </si>
  <si>
    <t>価格が100万円を超える場合は入力エラーになる</t>
  </si>
  <si>
    <t>priceに1000001を指定して商品修正APIを呼び出す。</t>
  </si>
  <si>
    <t>{ productName:"修正商品A", price:1000001, stock:20, categoryId:"既存カテゴリUUID", imageUrl:"https://example.com/update.png" }</t>
  </si>
  <si>
    <t>400 Bad Request。価格は100万円以下で入力する旨のエラーメッセージが返る。DBは更新されない。</t>
  </si>
  <si>
    <t>IT-UPDATE-010</t>
  </si>
  <si>
    <t>在庫数が1000を超える場合は入力エラーになる</t>
  </si>
  <si>
    <t>stockに1001を指定して商品修正APIを呼び出す。</t>
  </si>
  <si>
    <t>{ productName:"修正商品A", price:1500, stock:1001, categoryId:"既存カテゴリUUID", imageUrl:"https://example.com/update.png" }</t>
  </si>
  <si>
    <t>400 Bad Request。在庫数は1000個以下で入力する旨のエラーメッセージが返る。DBは更新されない。</t>
  </si>
  <si>
    <t>IT-UPDATE-011</t>
  </si>
  <si>
    <t>存在しないカテゴリIDの場合はエラーになる</t>
  </si>
  <si>
    <t>対象商品はDBに登録済み。指定するcategoryIdはDBに存在しない。</t>
  </si>
  <si>
    <t>存在しないcategoryIdを指定して商品修正APIを呼び出す。</t>
  </si>
  <si>
    <t>{ productName:"修正商品A", price:1500, stock:20, categoryId:"存在しないカテゴリUUID", imageUrl:"https://example.com/update.png" }</t>
  </si>
  <si>
    <t>400 Bad Request。カテゴリを選択する旨のエラーメッセージが返る。DBは更新されない。</t>
  </si>
  <si>
    <t>IT-UPDATE-012</t>
  </si>
  <si>
    <t>画像URLが空の場合は入力エラーになる</t>
  </si>
  <si>
    <t>imageUrlを空文字にして商品修正APIを呼び出す。</t>
  </si>
  <si>
    <t>{ productName:"修正商品A", price:1500, stock:20, categoryId:"既存カテゴリUUID", imageUrl:"" }</t>
  </si>
  <si>
    <t>400 Bad Request。画像をアップロードする旨のエラーメッセージが返る。DBは更新されない。</t>
  </si>
  <si>
    <t>IT-UPDATE-013</t>
  </si>
  <si>
    <t>削除済み商品は修正対象にならない</t>
  </si>
  <si>
    <t>削除済み商品のproductUuidを指定して商品修正APIを呼び出す。</t>
  </si>
  <si>
    <t>productUuid="削除済み商品のUUID"、bodyは正常値</t>
  </si>
  <si>
    <t>400 Bad Request。商品が見つからない旨のエラーメッセージが返る。削除済み商品のDB値は更新されない。</t>
  </si>
  <si>
    <t>IT-UPDATE-014</t>
  </si>
  <si>
    <t>不正なJSONの場合はリクエストエラーになる</t>
  </si>
  <si>
    <t>JSON形式が壊れたリクエストボディで商品修正APIを呼び出す。</t>
  </si>
  <si>
    <t>{ productName:"修正商品A", price: }</t>
  </si>
  <si>
    <t>400 Bad Request。リクエストボディの形式不正として処理され、DBは更新されない。</t>
  </si>
  <si>
    <t>IT-UPDATE-015</t>
  </si>
  <si>
    <t>修正後に商品詳細取得APIへ反映される</t>
  </si>
  <si>
    <t>商品修正APIで商品情報を変更後、同じproductUuidで商品詳細取得APIを呼び出す。</t>
  </si>
  <si>
    <t>修正API：正常な修正値、詳細取得API：同じproductUuid</t>
  </si>
  <si>
    <t>修正APIは200 OK。詳細取得APIのレスポンスに修正後の商品名・価格・在庫数・カテゴリID・画像URLが返る。</t>
  </si>
  <si>
    <t>IT-REGIAC-001</t>
  </si>
  <si>
    <r>
      <rPr>
        <sz val="9"/>
        <color rgb="FF000000"/>
        <rFont val="メイリオ"/>
        <family val="3"/>
        <charset val="128"/>
      </rPr>
      <t>API</t>
    </r>
    <r>
      <rPr>
        <sz val="9"/>
        <color rgb="FF000000"/>
        <rFont val="Noto Sans CJK SC"/>
      </rPr>
      <t>：</t>
    </r>
    <r>
      <rPr>
        <sz val="9"/>
        <color rgb="FF000000"/>
        <rFont val="メイリオ"/>
        <family val="3"/>
        <charset val="128"/>
      </rPr>
      <t>POST /api/admin/accounts</t>
    </r>
  </si>
  <si>
    <r>
      <rPr>
        <sz val="9"/>
        <color rgb="FF000000"/>
        <rFont val="Noto Sans CJK SC"/>
      </rPr>
      <t>新商品登録</t>
    </r>
    <r>
      <rPr>
        <sz val="9"/>
        <color rgb="FF000000"/>
        <rFont val="メイリオ"/>
        <family val="3"/>
        <charset val="128"/>
      </rPr>
      <t>API</t>
    </r>
    <r>
      <rPr>
        <sz val="9"/>
        <color rgb="FF000000"/>
        <rFont val="Noto Sans CJK SC"/>
      </rPr>
      <t>が成功する</t>
    </r>
  </si>
  <si>
    <r>
      <rPr>
        <sz val="9"/>
        <color rgb="FF000000"/>
        <rFont val="Noto Sans CJK SC"/>
      </rPr>
      <t>アカウント登録</t>
    </r>
    <r>
      <rPr>
        <sz val="9"/>
        <color rgb="FF000000"/>
        <rFont val="メイリオ"/>
        <family val="3"/>
        <charset val="128"/>
      </rPr>
      <t>API</t>
    </r>
    <r>
      <rPr>
        <sz val="9"/>
        <color rgb="FF000000"/>
        <rFont val="Noto Sans CJK SC"/>
      </rPr>
      <t>を呼び出す</t>
    </r>
  </si>
  <si>
    <t>{ "employeeUuid": "2251a8e3-2eaf-4833-9053-f61035436ced", "accountName": "ogawayuna", "password": "Password123" }</t>
  </si>
  <si>
    <t>{
  "message": "担当者アカウントを登録しました。"
}</t>
  </si>
  <si>
    <t>IT-REGIAC-002</t>
  </si>
  <si>
    <t>アカウント名が未入力でエラーが発生する</t>
  </si>
  <si>
    <t>対象社員が存在する</t>
  </si>
  <si>
    <t>社員とパスワードのみ入力する</t>
  </si>
  <si>
    <t>{ "employeeUuid": "2251a8e3-2eaf-4833-9053-f61035436ced", "accountName": ", "password": "Password123" }</t>
  </si>
  <si>
    <t>{
  "message": "employeeId、accountName、passwordを入力してください。"
}</t>
  </si>
  <si>
    <t>IT-REGIAC-003</t>
  </si>
  <si>
    <t>アカウント名が4文字でエラーが発生する</t>
  </si>
  <si>
    <t>4文字のアカウント名を入力する</t>
  </si>
  <si>
    <t>{ "employeeUuid": "2251a8e3-2eaf-4833-9053-f61035436ced", "accountName": "yuna", "password": "Password123" }</t>
  </si>
  <si>
    <t>{
  "message": "入力値に不備があります。"
}</t>
  </si>
  <si>
    <t>IT-REGIAC-004</t>
  </si>
  <si>
    <t>アカウント名が5文字で登録が成功する</t>
  </si>
  <si>
    <t>{ "employeeUuid": "2251a8e3-2eaf-4833-9053-f61035436ced", "accountName": "ogawa", "password": "Password123" }</t>
  </si>
  <si>
    <t>IT-REGIAC-005</t>
  </si>
  <si>
    <t>アカウント名が20文字で登録が成功する</t>
  </si>
  <si>
    <t>アカウント登録APIを呼び出す</t>
  </si>
  <si>
    <t>{ "employeeUuid": "2251a8e3-2eaf-4833-9053-f61035436ced", "accountName": "ogawaogawaogawaogawa", "password": "Password123" }</t>
  </si>
  <si>
    <t>IT-REGIAC-006</t>
  </si>
  <si>
    <t>アカウント名が21文字でエラーが発生する</t>
  </si>
  <si>
    <t>21文字のアカウント名を入力する</t>
  </si>
  <si>
    <t>{ "employeeUuid": "2251a8e3-2eaf-4833-9053-f61035436ced", "accountName": "ogawaogawaogawaogawa7", "password": "Password123" }</t>
  </si>
  <si>
    <t>IT-REGIAC-007</t>
  </si>
  <si>
    <t>アカウント名が同一文字のみでエラーが発生する</t>
  </si>
  <si>
    <t>同じ文字のみのアカウント名を入力する</t>
  </si>
  <si>
    <t>{ "employeeUuid": "2251a8e3-2eaf-4833-9053-f61035436ced", "accountName": "oooooooooo", "password": "Password123" }</t>
  </si>
  <si>
    <t>IT-REGIAC-008</t>
  </si>
  <si>
    <t>アカウント名に全角文字が含まれていてエラーが発生する</t>
  </si>
  <si>
    <t>全角文字が含まれているアカウント名を入力する</t>
  </si>
  <si>
    <t>{ "employeeUuid": "2251a8e3-2eaf-4833-9053-f61035436ced", "accountName": "おがわゆな", "password": "Password123" }</t>
  </si>
  <si>
    <t>IT-REGIAC-009</t>
  </si>
  <si>
    <t>アカウント名にスペースが含まれている</t>
  </si>
  <si>
    <t>スペースが含まれているアカウント名を入力する</t>
  </si>
  <si>
    <t>{ "employeeUuid": "2251a8e3-2eaf-4833-9053-f61035436ced", "accountName": "ogawa yuna", "password": "Password123" }</t>
  </si>
  <si>
    <t>IT-REGIAC-010</t>
  </si>
  <si>
    <t>アカウント名に記号が含まれている</t>
  </si>
  <si>
    <t>記号が含まれているアカウント名を入力する</t>
  </si>
  <si>
    <t>{ "employeeUuid": "2251a8e3-2eaf-4833-9053-f61035436ced", "accountName": "ogawayuna@", "password": "Password123" }</t>
  </si>
  <si>
    <t>IT-REGIAC-011</t>
  </si>
  <si>
    <t>パスワードが未入力でエラーが発生する</t>
  </si>
  <si>
    <t>対象社員が存在し、アカウント名が未使用である</t>
  </si>
  <si>
    <t>社員とアカウント名のみ入力する</t>
  </si>
  <si>
    <t>{ "employeeUuid": "2251a8e3-2eaf-4833-9053-f61035436ced", "accountName": "ogawayuna", "password": "" }</t>
  </si>
  <si>
    <t>IT-REGIAC-012</t>
  </si>
  <si>
    <t>パスワードが4文字でエラーが発生する</t>
  </si>
  <si>
    <t>4文字のパスワードを入力する</t>
  </si>
  <si>
    <t>{ "employeeUuid": "2251a8e3-2eaf-4833-9053-f61035436ced", "accountName": "ogawayuna", "password": "pass" }</t>
  </si>
  <si>
    <t>IT-REGIAC-013</t>
  </si>
  <si>
    <t>パスワードが5文字で登録が成功する</t>
  </si>
  <si>
    <t>{ "employeeUuid": "2251a8e3-2eaf-4833-9053-f61035436ced", "accountName": "ogawayuna", "password": "pass1" }</t>
  </si>
  <si>
    <t>IT-REGIAC-014</t>
  </si>
  <si>
    <t>パスワードが20文字で登録が成功する</t>
  </si>
  <si>
    <t>{ "employeeUuid": "2251a8e3-2eaf-4833-9053-f61035436ced", "accountName": "ogawayuna", "password": "passwordpasswordpass" }</t>
  </si>
  <si>
    <t>IT-REGIAC-015</t>
  </si>
  <si>
    <t>パスワードが21文字でエラーが発生する</t>
  </si>
  <si>
    <t>21文字のパスワードを入力する</t>
  </si>
  <si>
    <t>{ "employeeUuid": "2251a8e3-2eaf-4833-9053-f61035436ced", "accountName": "ogawayuna", "password": "passwordpasswordpass1" }</t>
  </si>
  <si>
    <t>IT-REGIAC-016</t>
  </si>
  <si>
    <t>パスワードが同一文字のみでエラーが発生する</t>
  </si>
  <si>
    <t>同一文字のパスワードを入力する</t>
  </si>
  <si>
    <t>{ "employeeUuid": "2251a8e3-2eaf-4833-9053-f61035436ced", "accountName": "ogawayuna", "password": "aaaaaaaa" }</t>
  </si>
  <si>
    <t>IT-REGIAC-017</t>
  </si>
  <si>
    <t>パスワードに全角文字が含まれていてエラーが発生する</t>
  </si>
  <si>
    <t>全角文字が含まれているパスワードを入力する</t>
  </si>
  <si>
    <t>{ "employeeUuid": "2251a8e3-2eaf-4833-9053-f61035436ced", "accountName": "ogawayuna", "password": "パスワード" }</t>
  </si>
  <si>
    <t>IT-REGIAC-018</t>
  </si>
  <si>
    <t>パスワードにスペースが含まれている</t>
  </si>
  <si>
    <t>スペースが含まれているパスワードを入力する</t>
  </si>
  <si>
    <t>{ "employeeUuid": "2251a8e3-2eaf-4833-9053-f61035436ced", "accountName": "ogawayuna", "password": "pass pass" }</t>
  </si>
  <si>
    <t>IT-REGIAC-019</t>
  </si>
  <si>
    <t>パスワードに記号が含まれている</t>
  </si>
  <si>
    <t>記号が含まれているパスワードを入力する</t>
  </si>
  <si>
    <t>{ "employeeUuid": "2251a8e3-2eaf-4833-9053-f61035436ced", "accountName": "ogawayuna", "password": "@pass" }</t>
  </si>
  <si>
    <t>IT-REGIAC-020</t>
  </si>
  <si>
    <t>社員が未選択でエラーが発生する</t>
  </si>
  <si>
    <t>登録画面を開いている</t>
  </si>
  <si>
    <t>社員を選択せず、アカウント名とパスワードを入力する</t>
  </si>
  <si>
    <t>{ "employeeUuid": "", "accountName": "ogawayuna", "password": "pass123" }</t>
  </si>
  <si>
    <t>IT-REGIAC-021</t>
  </si>
  <si>
    <t>存在しない社員でエラーが発生する</t>
  </si>
  <si>
    <t>指定するUUIDに対応する社員がDBに存在しない</t>
  </si>
  <si>
    <t>存在しない社員UUIDで登録APIを実行する</t>
  </si>
  <si>
    <t>{ "employeeUuid": "11111111-2eaf-4833-9053-f61035436ced", "accountName": "ogawayuna", "password": "pass123" }</t>
  </si>
  <si>
    <t>{
  "message": "指定された社員IDが存在しません。"
}</t>
  </si>
  <si>
    <t>IT-REGIAC-022</t>
  </si>
  <si>
    <t>アカウント名が重複していてエラーが発生する</t>
  </si>
  <si>
    <t>同じアカウント名がすでに登録されている</t>
  </si>
  <si>
    <t>登録済みと同じアカウント名で登録する</t>
  </si>
  <si>
    <t>{ "employeeUuid": "2251a8e3-2eaf-4833-9053-f61035436ced", "accountName": "ogawayuna", "password": "pass123" }</t>
  </si>
  <si>
    <t>{
  "message": "このアカウント名は既に登録されています。"
}</t>
  </si>
  <si>
    <t>IT-LOG-001</t>
    <phoneticPr fontId="12"/>
  </si>
  <si>
    <t>API : POST /api/admin/login</t>
    <phoneticPr fontId="12"/>
  </si>
  <si>
    <t>正常ログイン</t>
    <rPh sb="0" eb="2">
      <t>セイジョウ</t>
    </rPh>
    <phoneticPr fontId="12"/>
  </si>
  <si>
    <t>担当者アカウント登録済み</t>
    <rPh sb="8" eb="11">
      <t>トウロクズ</t>
    </rPh>
    <phoneticPr fontId="12"/>
  </si>
  <si>
    <t>POST /api/admin/login を実行</t>
    <phoneticPr fontId="12"/>
  </si>
  <si>
    <t>{"username":"suzuki4602",
"password": "suzuki123"}</t>
    <phoneticPr fontId="12"/>
  </si>
  <si>
    <t>200 OK・Cookie発行・JWT取得</t>
  </si>
  <si>
    <t>渡邉</t>
    <rPh sb="0" eb="2">
      <t>ワタナベ</t>
    </rPh>
    <phoneticPr fontId="12"/>
  </si>
  <si>
    <t>IT-LOG-002</t>
  </si>
  <si>
    <t>存在しないユーザー</t>
    <rPh sb="0" eb="2">
      <t>ソンザイ</t>
    </rPh>
    <phoneticPr fontId="12"/>
  </si>
  <si>
    <t>{"username":"suzuki",
"password": "suzuki123"}</t>
    <phoneticPr fontId="12"/>
  </si>
  <si>
    <t>401 Unauthorized</t>
    <phoneticPr fontId="12"/>
  </si>
  <si>
    <t>IT-LOG-003</t>
  </si>
  <si>
    <t>パスワード誤り</t>
    <phoneticPr fontId="12"/>
  </si>
  <si>
    <t>{"username":"suzuki4602",
"password": "suzuki"}</t>
    <phoneticPr fontId="12"/>
  </si>
  <si>
    <t>IT-LOG-004</t>
  </si>
  <si>
    <t>ユーザ未入力</t>
    <rPh sb="3" eb="6">
      <t>ミニュウリョク</t>
    </rPh>
    <phoneticPr fontId="12"/>
  </si>
  <si>
    <t>{"username":"",
"password": "suzuki123"}</t>
    <phoneticPr fontId="12"/>
  </si>
  <si>
    <t>400 BadRequest</t>
  </si>
  <si>
    <t>IT-LOG-005</t>
  </si>
  <si>
    <t>パスワード未入力</t>
    <rPh sb="5" eb="8">
      <t>ミニュウリョク</t>
    </rPh>
    <phoneticPr fontId="12"/>
  </si>
  <si>
    <t>{"username":"suzuki4602",
"password": ""}</t>
    <phoneticPr fontId="12"/>
  </si>
  <si>
    <t>IT-LOG-006</t>
  </si>
  <si>
    <t>両方未入力</t>
    <rPh sb="0" eb="5">
      <t>リョウホウミニュウリョク</t>
    </rPh>
    <phoneticPr fontId="12"/>
  </si>
  <si>
    <t>{"username":"",
"password": ""}</t>
    <phoneticPr fontId="12"/>
  </si>
  <si>
    <t>IT-LOG-007</t>
  </si>
  <si>
    <t>ユーザが21文字</t>
    <rPh sb="6" eb="8">
      <t>モジ</t>
    </rPh>
    <phoneticPr fontId="12"/>
  </si>
  <si>
    <t>{"username":"suzuki111111111111111",
"password": "suzuki123"}</t>
    <phoneticPr fontId="12"/>
  </si>
  <si>
    <t>401 BadRequest</t>
  </si>
  <si>
    <t>IT-LOG-008</t>
  </si>
  <si>
    <t>パスワードが21文字</t>
    <rPh sb="8" eb="10">
      <t>モジ</t>
    </rPh>
    <phoneticPr fontId="12"/>
  </si>
  <si>
    <t>{"username":"suzuki123",
"password": "suzuki111111111111111"}</t>
    <phoneticPr fontId="12"/>
  </si>
  <si>
    <t>402 BadRequest</t>
  </si>
  <si>
    <t>IT-LOG-009</t>
  </si>
  <si>
    <t>5回失敗後パスワード誤りでログイン</t>
    <rPh sb="10" eb="11">
      <t>アヤマ</t>
    </rPh>
    <phoneticPr fontId="12"/>
  </si>
  <si>
    <t>ログイン失敗回数上限に達している</t>
  </si>
  <si>
    <t>423 Locked</t>
    <phoneticPr fontId="12"/>
  </si>
  <si>
    <t>IT-LOG-010</t>
  </si>
  <si>
    <t>ロック中に正常ログイン</t>
    <rPh sb="5" eb="7">
      <t>セイジョウ</t>
    </rPh>
    <phoneticPr fontId="12"/>
  </si>
  <si>
    <t>ログイン失敗回数上限に達している、担当者アカウント登録済み</t>
    <phoneticPr fontId="12"/>
  </si>
  <si>
    <t>{"username":"suzuki4602",
"password": "suzuki123"}</t>
  </si>
  <si>
    <t>IT-LOG-011</t>
  </si>
  <si>
    <t>ロック後10分経過で正常ログイン</t>
    <rPh sb="3" eb="4">
      <t>ゴ</t>
    </rPh>
    <rPh sb="6" eb="9">
      <t>フンケイカ</t>
    </rPh>
    <rPh sb="10" eb="12">
      <t>セイジョウ</t>
    </rPh>
    <phoneticPr fontId="12"/>
  </si>
  <si>
    <t>ログイン失敗回数上限に達し、10分経過、担当者アカウント登録済み</t>
    <rPh sb="16" eb="19">
      <t>フンケイカ</t>
    </rPh>
    <phoneticPr fontId="12"/>
  </si>
  <si>
    <t>IT-LOG-012</t>
  </si>
  <si>
    <t>API : POST /api/admin/logout</t>
    <phoneticPr fontId="12"/>
  </si>
  <si>
    <t>ログアウト</t>
    <phoneticPr fontId="12"/>
  </si>
  <si>
    <t>ログイン済み</t>
  </si>
  <si>
    <t>POST /api/admin/logout を実行</t>
    <phoneticPr fontId="12"/>
  </si>
  <si>
    <t>200 OK・Cookie削除</t>
    <phoneticPr fontId="12"/>
  </si>
  <si>
    <t>IT-LOG-013</t>
  </si>
  <si>
    <t>未認証でログアウトできない</t>
    <rPh sb="0" eb="1">
      <t>ミ</t>
    </rPh>
    <rPh sb="1" eb="3">
      <t>ニンショウ</t>
    </rPh>
    <phoneticPr fontId="12"/>
  </si>
  <si>
    <t>API：GET /api/admin/categories</t>
  </si>
  <si>
    <t>カテゴリ一覧を取得できる</t>
  </si>
  <si>
    <t>カテゴリ一覧にカテゴリが3件入っている</t>
  </si>
  <si>
    <t>カテゴリ一覧取得APIを実行する</t>
  </si>
  <si>
    <t>200が返り、カテゴリ一覧が取得できる</t>
  </si>
  <si>
    <t>{
  "categories": [
    {
      "categoryUuid": "be07198e-eba3-46d2-b986-9becaf506b51",
      "name": "文具"
    },
    {
      "categoryUuid": "2146c236-44a1-4f46-a0d0-41dcbab06c59",
      "name": "雑貨"
    },
    {
      "categoryUuid": "6a9f3067-3916-4bc7-acfe-c95eb3086cd8",
      "name": "パソコン周辺機器"
    }
  ]
}</t>
  </si>
  <si>
    <t>片野</t>
  </si>
  <si>
    <t>IT-REGICA-001</t>
  </si>
  <si>
    <r>
      <rPr>
        <sz val="9"/>
        <color rgb="FF000000"/>
        <rFont val="メイリオ"/>
        <family val="3"/>
        <charset val="128"/>
      </rPr>
      <t>API</t>
    </r>
    <r>
      <rPr>
        <sz val="9"/>
        <color rgb="FF000000"/>
        <rFont val="Noto Sans CJK SC"/>
      </rPr>
      <t>：</t>
    </r>
    <r>
      <rPr>
        <sz val="9"/>
        <color rgb="FF000000"/>
        <rFont val="メイリオ"/>
        <family val="3"/>
        <charset val="128"/>
      </rPr>
      <t>POST /api/admin/categories</t>
    </r>
  </si>
  <si>
    <r>
      <rPr>
        <sz val="9"/>
        <color rgb="FF000000"/>
        <rFont val="Noto Sans CJK SC"/>
      </rPr>
      <t>カテゴリ登録</t>
    </r>
    <r>
      <rPr>
        <sz val="9"/>
        <color rgb="FF000000"/>
        <rFont val="メイリオ"/>
        <family val="3"/>
        <charset val="128"/>
      </rPr>
      <t>API</t>
    </r>
    <r>
      <rPr>
        <sz val="9"/>
        <color rgb="FF000000"/>
        <rFont val="Noto Sans CJK SC"/>
      </rPr>
      <t>が成功する</t>
    </r>
  </si>
  <si>
    <r>
      <rPr>
        <sz val="9"/>
        <color rgb="FF000000"/>
        <rFont val="Noto Sans CJK SC"/>
      </rPr>
      <t>カテゴリ登録</t>
    </r>
    <r>
      <rPr>
        <sz val="9"/>
        <color rgb="FF000000"/>
        <rFont val="メイリオ"/>
        <family val="3"/>
        <charset val="128"/>
      </rPr>
      <t>API</t>
    </r>
    <r>
      <rPr>
        <sz val="9"/>
        <color rgb="FF000000"/>
        <rFont val="Noto Sans CJK SC"/>
      </rPr>
      <t>を呼び出す</t>
    </r>
  </si>
  <si>
    <t>{
  "categoryName": "調理器具"
}</t>
  </si>
  <si>
    <t>商品カテゴリを登録しました。</t>
  </si>
  <si>
    <t>IT-REGICA-002</t>
  </si>
  <si>
    <t>カテゴリ名が未入力でエラーが発生する</t>
  </si>
  <si>
    <t>カテゴリ名を空白で入力する</t>
  </si>
  <si>
    <t>{
  "categoryName": ""
}</t>
  </si>
  <si>
    <t>入力値に不備があります。</t>
  </si>
  <si>
    <t>IT-REGICA-003</t>
  </si>
  <si>
    <t>カテゴリ名が31文字でエラーが発生する</t>
  </si>
  <si>
    <t>カテゴリ名を31文字で入力する</t>
  </si>
  <si>
    <t>{
  "categoryName": "あいうえおかきくけこさしすせそたちつてとなにぬねのはひふへほま"
}</t>
  </si>
  <si>
    <t>IT-REGICA-004</t>
  </si>
  <si>
    <t>カテゴリ名が１文字で登録が成功する</t>
  </si>
  <si>
    <t>カテゴリ登録APIを呼び出す</t>
  </si>
  <si>
    <t>{
  "categoryName": "あ"
}</t>
  </si>
  <si>
    <t>IT-REGICA-005</t>
  </si>
  <si>
    <t>カテゴリ名が30文字で登録が成功する</t>
  </si>
  <si>
    <t>{
  "categoryName": "あいうえおかきくけこさしすせそたちつてとなにぬねのはひふへほ"
}</t>
  </si>
  <si>
    <t>IT-REGICA-006</t>
  </si>
  <si>
    <t>カテゴリ名が重複していてエラーが発生する</t>
  </si>
  <si>
    <t>同じカテゴリ名がすでに登録されている</t>
  </si>
  <si>
    <t>登録済みと同じカテゴリ名で登録する</t>
  </si>
  <si>
    <t>{
  "categoryName": "パソコン周辺機器"
}</t>
  </si>
  <si>
    <t>このカテゴリ名は既に登録されています。</t>
  </si>
  <si>
    <t>IT-REGIPR-001</t>
  </si>
  <si>
    <r>
      <rPr>
        <sz val="9"/>
        <color rgb="FF000000"/>
        <rFont val="メイリオ"/>
        <family val="3"/>
        <charset val="128"/>
      </rPr>
      <t>API</t>
    </r>
    <r>
      <rPr>
        <sz val="9"/>
        <color rgb="FF000000"/>
        <rFont val="Noto Sans CJK SC"/>
      </rPr>
      <t>：</t>
    </r>
    <r>
      <rPr>
        <sz val="9"/>
        <color rgb="FF000000"/>
        <rFont val="メイリオ"/>
        <family val="3"/>
        <charset val="128"/>
      </rPr>
      <t>POST /api/admin/products</t>
    </r>
  </si>
  <si>
    <t>{
  "productName": "テスト商品",
  "price": 10,
  "stock": 10,
  "categoryUuid": "6a9f3067-3916-4bc7-acfe-c95eb3086cd8",
  "imageUrl": "string"
}</t>
  </si>
  <si>
    <t>商品を登録しました。</t>
  </si>
  <si>
    <t>IT-REGIPR-002</t>
  </si>
  <si>
    <t>商品名未入力でエラーが出る</t>
  </si>
  <si>
    <t>{
  "productName": "",
  "price": 10,
  "stock": 10,
  "categoryUuid": "6a9f3067-3916-4bc7-acfe-c95eb3086cd8",
  "imageUrl": "string"
}</t>
  </si>
  <si>
    <t>productName、price、stock、categoryUuidを入力してください。</t>
  </si>
  <si>
    <t>IT-REGIPR-003</t>
  </si>
  <si>
    <t>商品名１文字でエラーが出る</t>
  </si>
  <si>
    <t>{
  "productName": "a",
  "price": 1000000,
  "stock": 1000,
  "categoryUuid": "be07198e-eba3-46d2-b986-9becaf506b51",
  "imageUrl": "string"
}</t>
  </si>
  <si>
    <t>IT-REGIPR-004</t>
  </si>
  <si>
    <t>商品名２文字で登録できる</t>
  </si>
  <si>
    <t>{
  "productName": "ab",
  "price": 1000000,
  "stock": 1000,
  "categoryUuid": "be07198e-eba3-46d2-b986-9becaf506b51",
  "imageUrl": "string"
}</t>
  </si>
  <si>
    <t>IT-REGIPR-005</t>
  </si>
  <si>
    <t>商品名20文字で登録できる</t>
  </si>
  <si>
    <t>{
  "productName": "あいうえおかきくけこさしすせそたちつてと",
  "price": 1000000,
  "stock": 1000,
  "categoryUuid": "be07198e-eba3-46d2-b986-9becaf506b51",
  "imageUrl": "string"
}</t>
  </si>
  <si>
    <t>IT-REGIPR-006</t>
  </si>
  <si>
    <t>商品名21文字でエラーが出る</t>
  </si>
  <si>
    <t>{
  "productName": "あいうえおかきくけこさしすせそたちつてとな",
  "price": 1000000,
  "stock": 1000,
  "categoryUuid": "be07198e-eba3-46d2-b986-9becaf506b51",
  "imageUrl": "string"
}</t>
  </si>
  <si>
    <t>IT-REGIPR-007</t>
  </si>
  <si>
    <t>値段未入力でエラーが出る</t>
  </si>
  <si>
    <t>{
  "productName": "テスト商品２",
  "price": ,
  "stock": 1000,
  "categoryUuid": "be07198e-eba3-46d2-b986-9becaf506b51",
  "imageUrl": "string"
}</t>
  </si>
  <si>
    <t>IT-REGIPR-008</t>
  </si>
  <si>
    <t>値段－1でエラーが出る</t>
  </si>
  <si>
    <t>{
  "productName": "テスト商品２",
  "price": －1,
  "stock": 1000,
  "categoryUuid": "be07198e-eba3-46d2-b986-9becaf506b51",
  "imageUrl": "string"
}</t>
  </si>
  <si>
    <t>IT-REGIPR-009</t>
  </si>
  <si>
    <t>値段０で登録できる</t>
  </si>
  <si>
    <t>{
  "productName": "テスト商品２",
  "price": 0,
  "stock": 1000,
  "categoryUuid": "be07198e-eba3-46d2-b986-9becaf506b51",
  "imageUrl": "string"
}</t>
  </si>
  <si>
    <t>IT-REGIPR-010</t>
  </si>
  <si>
    <t>値段100万で登録できる</t>
  </si>
  <si>
    <t>{
  "productName": "テスト商品3",
  "price": 1000000,
  "stock": 1000,
  "categoryUuid": "be07198e-eba3-46d2-b986-9becaf506b51",
  "imageUrl": "string"
}</t>
  </si>
  <si>
    <t>IT-REGIPR-011</t>
  </si>
  <si>
    <t>値段100万1でエラーが出る</t>
  </si>
  <si>
    <t>{
  "productName": "テスト商品4",
  "price": 1000001,
  "stock": 1,
  "categoryUuid": "be07198e-eba3-46d2-b986-9becaf506b51",
  "imageUrl": "string"
}</t>
  </si>
  <si>
    <t>IT-REGIPR-012</t>
  </si>
  <si>
    <t>在庫未入力でエラーが出る</t>
  </si>
  <si>
    <t>{
  "productName": "テスト商品4",
  "price": 1000000,
  "stock": ,
  "categoryUuid": "be07198e-eba3-46d2-b986-9becaf506b51",
  "imageUrl": "string"
}</t>
  </si>
  <si>
    <t>IT-REGIPR-013</t>
  </si>
  <si>
    <t>在庫数－1でエラーが出る</t>
  </si>
  <si>
    <t>{
  "productName": "テスト商品4",
  "price": 1000000,
  "stock": -1,
  "categoryUuid": "be07198e-eba3-46d2-b986-9becaf506b51",
  "imageUrl": "string"
}</t>
  </si>
  <si>
    <t>IT-REGIPR-014</t>
  </si>
  <si>
    <t>在庫数0で登録できる</t>
  </si>
  <si>
    <t>{
  "productName": "テスト商品4",
  "price": 1000000,
  "stock": 0,
  "categoryUuid": "be07198e-eba3-46d2-b986-9becaf506b51",
  "imageUrl": "string"
}</t>
  </si>
  <si>
    <t>IT-REGIPR-015</t>
  </si>
  <si>
    <t>在庫数1000で登録できる</t>
  </si>
  <si>
    <t>{
  "productName": "テスト商品5",
  "price": 1000000,
  "stock": 1000,
  "categoryUuid": "be07198e-eba3-46d2-b986-9becaf506b51",
  "imageUrl": "string"
}</t>
  </si>
  <si>
    <t>IT-REGIPR-016</t>
  </si>
  <si>
    <t>在庫数1001でエラーが出る</t>
  </si>
  <si>
    <t>{
  "productName": "テスト商品5",
  "price": 1000000,
  "stock": 1001,
  "categoryUuid": "be07198e-eba3-46d2-b986-9becaf506b51",
  "imageUrl": "string"
}</t>
  </si>
  <si>
    <t>IT-REGIPR-017</t>
  </si>
  <si>
    <t>カテゴリUUIDが未入力でエラーが出る</t>
  </si>
  <si>
    <t>{
  "productName": "テスト商品5",
  "price": 1000000,
  "stock": 1000,
  "categoryUuid": "",
  "imageUrl": "string"
}</t>
  </si>
  <si>
    <t>IT-REGIPR-018</t>
  </si>
  <si>
    <t>存在しないカテゴリUUIDでエラーが出る</t>
  </si>
  <si>
    <t>{
  "productName": "テスト商品6",
  "price": 1000000,
  "stock": 1000,
  "categoryUuid": "ab25543e-eba3-46d2-b986-9becaf506b51",
  "imageUrl": "string"
}</t>
  </si>
  <si>
    <t>IT-REGIPR-019</t>
  </si>
  <si>
    <t>imageUrl未入力でエラーが出る</t>
  </si>
  <si>
    <t>{
  "productName": "テスト商品1",
  "price": 1000000,
  "stock": 1000,
  "categoryUuid": "be07198e-eba3-46d2-b986-9becaf506b51",
  "imageUrl": ""
}</t>
  </si>
  <si>
    <t>IT-REGIPR-020</t>
  </si>
  <si>
    <t>既に存在する商品名でエラーが出る</t>
  </si>
  <si>
    <t>入力する商品名が既に存在している。</t>
  </si>
  <si>
    <t>{
  "productName": "テスト商品1",
  "price": 1000000,
  "stock": 1000,
  "categoryUuid": "be07198e-eba3-46d2-b986-9becaf506b51",
  "imageUrl": "string"
}</t>
  </si>
  <si>
    <t>同じ商品名が既に登録されています。</t>
  </si>
  <si>
    <t>小倉</t>
    <rPh sb="0" eb="2">
      <t>オグラ</t>
    </rPh>
    <phoneticPr fontId="12"/>
  </si>
  <si>
    <t>201が返り、カテゴリ一覧が取得できる</t>
  </si>
  <si>
    <r>
      <t>{
 []</t>
    </r>
    <r>
      <rPr>
        <sz val="11"/>
        <color theme="1"/>
        <rFont val="Calibri"/>
        <family val="2"/>
      </rPr>
      <t xml:space="preserve">
}</t>
    </r>
    <phoneticPr fontId="12"/>
  </si>
  <si>
    <t>カテゴリが0件</t>
    <rPh sb="6" eb="7">
      <t>ケン</t>
    </rPh>
    <phoneticPr fontId="12"/>
  </si>
  <si>
    <t>カテゴリが存在しないときは空配列を返す</t>
    <rPh sb="5" eb="7">
      <t>ソンザイ</t>
    </rPh>
    <rPh sb="13" eb="16">
      <t>クウハイレツ</t>
    </rPh>
    <rPh sb="17" eb="18">
      <t>カエ</t>
    </rPh>
    <phoneticPr fontId="12"/>
  </si>
  <si>
    <t>石原</t>
    <rPh sb="0" eb="2">
      <t>イシハラ</t>
    </rPh>
    <phoneticPr fontId="12"/>
  </si>
  <si>
    <t>小川</t>
    <rPh sb="0" eb="2">
      <t>オガワ</t>
    </rPh>
    <phoneticPr fontId="12"/>
  </si>
  <si>
    <t>片野</t>
    <rPh sb="0" eb="2">
      <t>カタノ</t>
    </rPh>
    <phoneticPr fontId="12"/>
  </si>
  <si>
    <t>ワタナベスト</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</si>
</sst>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9">
    <font>
      <sz val="11"/>
      <color theme="1"/>
      <name val="Calibri"/>
      <family val="2"/>
      <charset val="1"/>
    </font>
    <font>
      <b/>
      <sz val="15"/>
      <color rgb="FF1E8A4C"/>
      <name val="Noto Sans CJK SC"/>
      <family val="2"/>
    </font>
    <font>
      <b/>
      <sz val="15"/>
      <color rgb="FF1E8A4C"/>
      <name val="メイリオ"/>
      <family val="3"/>
      <charset val="128"/>
    </font>
    <font>
      <sz val="9"/>
      <color rgb="FF555555"/>
      <name val="Noto Sans CJK SC"/>
      <family val="2"/>
    </font>
    <font>
      <b/>
      <sz val="10"/>
      <name val="Noto Sans CJK SC"/>
      <family val="2"/>
    </font>
    <font>
      <b/>
      <sz val="10"/>
      <color rgb="FFFFFFFF"/>
      <name val="メイリオ"/>
      <family val="3"/>
      <charset val="128"/>
    </font>
    <font>
      <b/>
      <sz val="10"/>
      <color rgb="FFFFFFFF"/>
      <name val="Noto Sans CJK SC"/>
      <family val="2"/>
    </font>
    <font>
      <sz val="9"/>
      <name val="メイリオ"/>
      <family val="3"/>
      <charset val="128"/>
    </font>
    <font>
      <sz val="9"/>
      <name val="Noto Sans CJK SC"/>
      <family val="2"/>
    </font>
    <font>
      <sz val="10"/>
      <name val="メイリオ"/>
      <family val="3"/>
      <charset val="128"/>
    </font>
    <font>
      <b/>
      <sz val="10"/>
      <color rgb="FF1E8A4C"/>
      <name val="メイリオ"/>
      <family val="3"/>
      <charset val="128"/>
    </font>
    <font>
      <sz val="9"/>
      <color rgb="FF555555"/>
      <name val="メイリオ"/>
      <family val="3"/>
      <charset val="128"/>
    </font>
    <font>
      <sz val="6"/>
      <name val="ＭＳ Ｐゴシック"/>
      <family val="3"/>
      <charset val="128"/>
    </font>
    <font>
      <b/>
      <sz val="15"/>
      <color rgb="FF1E8A4C"/>
      <name val="Noto Sans CJK SC"/>
    </font>
    <font>
      <b/>
      <sz val="15"/>
      <color rgb="FF1E8A4C"/>
      <name val="ＭＳ ゴシック"/>
      <family val="3"/>
      <charset val="128"/>
    </font>
    <font>
      <b/>
      <sz val="15"/>
      <color rgb="FF1E8A4C"/>
      <name val="Noto Sans CJK SC"/>
      <family val="3"/>
      <charset val="128"/>
    </font>
    <font>
      <sz val="11"/>
      <color theme="1"/>
      <name val="ＭＳ Ｐゴシック"/>
      <family val="2"/>
      <charset val="128"/>
    </font>
    <font>
      <sz val="11"/>
      <color theme="1"/>
      <name val="Calibri"/>
      <family val="2"/>
    </font>
    <font>
      <sz val="11"/>
      <color rgb="FF000000"/>
      <name val="Carlito"/>
    </font>
    <font>
      <sz val="9"/>
      <name val="Noto Sans CJK SC"/>
    </font>
    <font>
      <b/>
      <sz val="10"/>
      <name val="Noto Sans CJK SC"/>
    </font>
    <font>
      <b/>
      <sz val="10"/>
      <color rgb="FFFFFFFF"/>
      <name val="Noto Sans CJK SC"/>
    </font>
    <font>
      <sz val="9"/>
      <color rgb="FF000000"/>
      <name val="メイリオ"/>
      <family val="3"/>
      <charset val="128"/>
    </font>
    <font>
      <sz val="9"/>
      <color rgb="FF000000"/>
      <name val="Noto Sans CJK SC"/>
    </font>
    <font>
      <sz val="9"/>
      <color rgb="FF000000"/>
      <name val="Noto Sans CJK SC"/>
      <family val="2"/>
    </font>
    <font>
      <sz val="11"/>
      <color theme="1"/>
      <name val="メイリオ"/>
      <family val="3"/>
      <charset val="128"/>
    </font>
    <font>
      <sz val="9"/>
      <color theme="1"/>
      <name val="メイリオ"/>
      <family val="3"/>
      <charset val="128"/>
    </font>
    <font>
      <sz val="9"/>
      <color rgb="FF000000"/>
      <name val="メイリオ"/>
      <family val="3"/>
      <charset val="128"/>
    </font>
    <font>
      <sz val="9"/>
      <color rgb="FF000000"/>
      <name val="ＭＳ ゴシック"/>
      <family val="3"/>
      <charset val="128"/>
    </font>
  </fonts>
  <fills count="5">
    <fill>
      <patternFill patternType="none"/>
    </fill>
    <fill>
      <patternFill patternType="gray125"/>
    </fill>
    <fill>
      <patternFill patternType="solid">
        <fgColor rgb="FFFFF9E6"/>
        <bgColor rgb="FFFFFFFF"/>
      </patternFill>
    </fill>
    <fill>
      <patternFill patternType="solid">
        <fgColor rgb="FF0AA667"/>
        <bgColor rgb="FF1E8A4C"/>
      </patternFill>
    </fill>
    <fill>
      <patternFill patternType="solid">
        <fgColor rgb="FFCFE9D7"/>
        <bgColor rgb="FFCCFFFF"/>
      </patternFill>
    </fill>
  </fills>
  <borders count="10">
    <border>
      <left/>
      <right/>
      <top/>
      <bottom/>
      <diagonal/>
    </border>
    <border>
      <left style="thin">
        <color rgb="FFBFC9C2"/>
      </left>
      <right style="thin">
        <color rgb="FFBFC9C2"/>
      </right>
      <top style="thin">
        <color rgb="FFBFC9C2"/>
      </top>
      <bottom style="thin">
        <color rgb="FFBFC9C2"/>
      </bottom>
      <diagonal/>
    </border>
    <border>
      <left/>
      <right style="thin">
        <color rgb="FFBFC9C2"/>
      </right>
      <top style="thin">
        <color rgb="FFBFC9C2"/>
      </top>
      <bottom style="thin">
        <color rgb="FFBFC9C2"/>
      </bottom>
      <diagonal/>
    </border>
    <border>
      <left style="thin">
        <color rgb="FFBFC9C2"/>
      </left>
      <right style="thin">
        <color rgb="FFBFC9C2"/>
      </right>
      <top/>
      <bottom style="thin">
        <color rgb="FFBFC9C2"/>
      </bottom>
      <diagonal/>
    </border>
    <border>
      <left/>
      <right style="thin">
        <color rgb="FFBFC9C2"/>
      </right>
      <top/>
      <bottom style="thin">
        <color rgb="FFBFC9C2"/>
      </bottom>
      <diagonal/>
    </border>
    <border>
      <left style="thin">
        <color rgb="FFBFC9C2"/>
      </left>
      <right/>
      <top style="thin">
        <color rgb="FFBFC9C2"/>
      </top>
      <bottom style="thin">
        <color rgb="FFBFC9C2"/>
      </bottom>
      <diagonal/>
    </border>
    <border>
      <left/>
      <right/>
      <top style="thin">
        <color rgb="FFBFC9C2"/>
      </top>
      <bottom style="thin">
        <color rgb="FFBFC9C2"/>
      </bottom>
      <diagonal/>
    </border>
    <border>
      <left style="thin">
        <color rgb="FFBFC9C2"/>
      </left>
      <right style="thin">
        <color rgb="FFBFC9C2"/>
      </right>
      <top style="thin">
        <color rgb="FFBFC9C2"/>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59">
    <xf numFmtId="0" fontId="0" fillId="0" borderId="0" xfId="0"/>
    <xf numFmtId="0" fontId="4" fillId="0" borderId="0" xfId="0" applyFont="1"/>
    <xf numFmtId="0" fontId="0" fillId="2" borderId="1" xfId="0" applyFill="1" applyBorder="1"/>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176" fontId="7"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4" borderId="1" xfId="0" applyFont="1" applyFill="1" applyBorder="1"/>
    <xf numFmtId="0" fontId="4" fillId="4" borderId="1" xfId="0" applyFont="1" applyFill="1" applyBorder="1"/>
    <xf numFmtId="0" fontId="7" fillId="0" borderId="1" xfId="0" applyFont="1" applyBorder="1" applyAlignment="1">
      <alignment wrapText="1"/>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19" fillId="0" borderId="1" xfId="0" applyFont="1" applyBorder="1" applyAlignment="1">
      <alignment horizontal="left" vertical="center" wrapText="1"/>
    </xf>
    <xf numFmtId="0" fontId="20" fillId="0" borderId="0" xfId="0" applyFont="1"/>
    <xf numFmtId="0" fontId="21" fillId="3" borderId="1" xfId="0" applyFont="1" applyFill="1" applyBorder="1" applyAlignment="1">
      <alignment horizontal="center" vertical="center" wrapText="1"/>
    </xf>
    <xf numFmtId="0" fontId="20" fillId="4" borderId="1" xfId="0" applyFont="1" applyFill="1" applyBorder="1"/>
    <xf numFmtId="0" fontId="24" fillId="0" borderId="1" xfId="0" applyFont="1" applyBorder="1" applyAlignment="1">
      <alignment horizontal="left" vertical="center" wrapText="1"/>
    </xf>
    <xf numFmtId="0" fontId="0" fillId="0" borderId="0" xfId="0" applyAlignment="1">
      <alignment wrapText="1"/>
    </xf>
    <xf numFmtId="0" fontId="5" fillId="3" borderId="7" xfId="0" applyFont="1" applyFill="1" applyBorder="1" applyAlignment="1">
      <alignment horizontal="center" vertical="center" wrapText="1"/>
    </xf>
    <xf numFmtId="0" fontId="21" fillId="3" borderId="7"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18" fillId="0" borderId="8" xfId="0" applyFont="1" applyBorder="1" applyAlignment="1">
      <alignment wrapText="1"/>
    </xf>
    <xf numFmtId="56" fontId="0" fillId="2" borderId="1" xfId="0" applyNumberFormat="1" applyFill="1" applyBorder="1"/>
    <xf numFmtId="0" fontId="19" fillId="0" borderId="5" xfId="0" applyFont="1" applyBorder="1" applyAlignment="1">
      <alignment horizontal="left" vertical="center" wrapText="1"/>
    </xf>
    <xf numFmtId="0" fontId="7" fillId="0" borderId="5" xfId="0" applyFont="1" applyBorder="1" applyAlignment="1">
      <alignment horizontal="center" vertical="center" wrapText="1"/>
    </xf>
    <xf numFmtId="0" fontId="6" fillId="3" borderId="7" xfId="0" applyFont="1" applyFill="1" applyBorder="1" applyAlignment="1">
      <alignment horizontal="center" vertical="center" wrapText="1"/>
    </xf>
    <xf numFmtId="0" fontId="4" fillId="4" borderId="3" xfId="0" applyFont="1" applyFill="1" applyBorder="1"/>
    <xf numFmtId="0" fontId="7" fillId="0" borderId="9" xfId="0" applyFont="1" applyBorder="1" applyAlignment="1">
      <alignment horizontal="left" vertical="center" wrapText="1"/>
    </xf>
    <xf numFmtId="0" fontId="7" fillId="0" borderId="9" xfId="0" applyFont="1" applyBorder="1" applyAlignment="1">
      <alignment horizontal="center" vertical="center" wrapText="1"/>
    </xf>
    <xf numFmtId="176" fontId="7" fillId="0" borderId="9" xfId="0" applyNumberFormat="1" applyFont="1" applyBorder="1" applyAlignment="1">
      <alignment horizontal="center" vertical="center" wrapText="1"/>
    </xf>
    <xf numFmtId="0" fontId="25" fillId="0" borderId="9" xfId="0" applyFont="1" applyBorder="1" applyAlignment="1">
      <alignment vertical="center" wrapText="1"/>
    </xf>
    <xf numFmtId="0" fontId="26" fillId="0" borderId="9" xfId="0" applyFont="1" applyBorder="1" applyAlignment="1">
      <alignment vertical="center" wrapText="1"/>
    </xf>
    <xf numFmtId="0" fontId="26" fillId="0" borderId="9" xfId="0" applyFont="1" applyBorder="1" applyAlignment="1">
      <alignment horizontal="left" vertical="center"/>
    </xf>
    <xf numFmtId="0" fontId="25" fillId="0" borderId="9" xfId="0" applyFont="1" applyBorder="1" applyAlignment="1">
      <alignment vertical="center"/>
    </xf>
    <xf numFmtId="0" fontId="26" fillId="0" borderId="9" xfId="0" applyFont="1" applyBorder="1" applyAlignment="1">
      <alignment vertical="center"/>
    </xf>
    <xf numFmtId="0" fontId="22" fillId="0" borderId="1" xfId="0" applyFont="1" applyBorder="1" applyAlignment="1">
      <alignment horizontal="left" vertical="center" wrapText="1"/>
    </xf>
    <xf numFmtId="0" fontId="27" fillId="0" borderId="0" xfId="0" applyFont="1"/>
    <xf numFmtId="0" fontId="1" fillId="0" borderId="0" xfId="0" applyFont="1"/>
    <xf numFmtId="0" fontId="3" fillId="0" borderId="0" xfId="0" applyFont="1"/>
    <xf numFmtId="0" fontId="10" fillId="4" borderId="5" xfId="0" applyFont="1" applyFill="1" applyBorder="1" applyAlignment="1">
      <alignment horizontal="left" vertical="center"/>
    </xf>
    <xf numFmtId="0" fontId="10" fillId="4" borderId="6" xfId="0" applyFont="1" applyFill="1" applyBorder="1" applyAlignment="1">
      <alignment horizontal="left" vertical="center"/>
    </xf>
    <xf numFmtId="0" fontId="10" fillId="4" borderId="2" xfId="0" applyFont="1" applyFill="1" applyBorder="1" applyAlignment="1">
      <alignment horizontal="left" vertical="center"/>
    </xf>
    <xf numFmtId="0" fontId="10" fillId="4" borderId="1" xfId="0" applyFont="1" applyFill="1" applyBorder="1" applyAlignment="1">
      <alignment horizontal="left" vertical="center"/>
    </xf>
    <xf numFmtId="0" fontId="11" fillId="0" borderId="0" xfId="0" applyFont="1"/>
    <xf numFmtId="0" fontId="15" fillId="0" borderId="0" xfId="0" applyFont="1"/>
    <xf numFmtId="0" fontId="13" fillId="0" borderId="0" xfId="0" applyFont="1"/>
    <xf numFmtId="0" fontId="10" fillId="4" borderId="3" xfId="0" applyFont="1" applyFill="1" applyBorder="1" applyAlignment="1">
      <alignment horizontal="left" vertical="center"/>
    </xf>
    <xf numFmtId="0" fontId="16" fillId="2" borderId="1" xfId="0" applyFont="1" applyFill="1" applyBorder="1"/>
    <xf numFmtId="176" fontId="7" fillId="0" borderId="2" xfId="0" applyNumberFormat="1" applyFont="1" applyBorder="1" applyAlignment="1">
      <alignment horizontal="center" vertical="center" wrapText="1"/>
    </xf>
    <xf numFmtId="0" fontId="0" fillId="0" borderId="8" xfId="0" applyBorder="1"/>
    <xf numFmtId="0" fontId="28" fillId="0" borderId="1" xfId="0" applyFont="1" applyBorder="1" applyAlignment="1">
      <alignment horizontal="left" vertical="center" wrapText="1"/>
    </xf>
    <xf numFmtId="0" fontId="7" fillId="0" borderId="5" xfId="0" applyFont="1" applyBorder="1" applyAlignment="1">
      <alignment horizontal="left" vertical="center" wrapText="1"/>
    </xf>
    <xf numFmtId="0" fontId="7" fillId="0" borderId="2" xfId="0" applyFont="1" applyBorder="1" applyAlignment="1">
      <alignment horizontal="center" vertical="center" wrapText="1"/>
    </xf>
    <xf numFmtId="0" fontId="0" fillId="0" borderId="8" xfId="0" applyBorder="1" applyAlignment="1">
      <alignment wrapText="1"/>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AA667"/>
      <rgbColor rgb="FFBFC9C2"/>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FE9D7"/>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1E8A4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4CF9-581B-40BB-8079-9C2A17B4EBB6}">
  <sheetPr>
    <pageSetUpPr fitToPage="1"/>
  </sheetPr>
  <dimension ref="A1:M31"/>
  <sheetViews>
    <sheetView showGridLines="0" tabSelected="1"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9" customWidth="1"/>
    <col min="3" max="3" width="22" customWidth="1"/>
    <col min="4" max="4" width="36.54296875" customWidth="1"/>
    <col min="5" max="5" width="40.81640625" customWidth="1"/>
    <col min="6" max="6" width="26" customWidth="1"/>
    <col min="7" max="7" width="46.54296875" customWidth="1"/>
    <col min="8" max="8" width="46" customWidth="1"/>
    <col min="9" max="9" width="57.1796875" customWidth="1"/>
    <col min="10" max="10" width="7" customWidth="1"/>
    <col min="11" max="11" width="9" customWidth="1"/>
    <col min="12" max="12" width="12" customWidth="1"/>
    <col min="13" max="13" width="14" customWidth="1"/>
  </cols>
  <sheetData>
    <row r="1" spans="1:13" ht="24" customHeight="1">
      <c r="A1" s="42" t="s">
        <v>0</v>
      </c>
      <c r="B1" s="42"/>
      <c r="C1" s="42"/>
      <c r="D1" s="42"/>
      <c r="E1" s="42"/>
      <c r="F1" s="42"/>
      <c r="G1" s="42"/>
      <c r="H1" s="42"/>
      <c r="I1" s="42"/>
      <c r="J1" s="42"/>
      <c r="K1" s="42"/>
      <c r="L1" s="42"/>
      <c r="M1" s="42"/>
    </row>
    <row r="2" spans="1:13">
      <c r="A2" s="43" t="s">
        <v>1</v>
      </c>
      <c r="B2" s="43"/>
      <c r="C2" s="43"/>
      <c r="D2" s="43"/>
      <c r="E2" s="43"/>
      <c r="F2" s="43"/>
      <c r="G2" s="43"/>
      <c r="H2" s="43"/>
      <c r="I2" s="43"/>
      <c r="J2" s="43"/>
      <c r="K2" s="43"/>
      <c r="L2" s="43"/>
      <c r="M2" s="43"/>
    </row>
    <row r="3" spans="1:13">
      <c r="A3" s="1" t="s">
        <v>2</v>
      </c>
      <c r="B3" s="52" t="s">
        <v>571</v>
      </c>
      <c r="C3" s="1" t="s">
        <v>3</v>
      </c>
      <c r="D3" s="52" t="s">
        <v>568</v>
      </c>
      <c r="E3" s="1" t="s">
        <v>4</v>
      </c>
      <c r="F3" s="2"/>
    </row>
    <row r="5" spans="1:13" ht="31.5" customHeight="1">
      <c r="A5" s="3" t="s">
        <v>5</v>
      </c>
      <c r="B5" s="4" t="s">
        <v>6</v>
      </c>
      <c r="C5" s="4" t="s">
        <v>7</v>
      </c>
      <c r="D5" s="4" t="s">
        <v>8</v>
      </c>
      <c r="E5" s="4" t="s">
        <v>9</v>
      </c>
      <c r="F5" s="4" t="s">
        <v>10</v>
      </c>
      <c r="G5" s="4" t="s">
        <v>11</v>
      </c>
      <c r="H5" s="4" t="s">
        <v>12</v>
      </c>
      <c r="I5" s="4" t="s">
        <v>13</v>
      </c>
      <c r="J5" s="4" t="s">
        <v>14</v>
      </c>
      <c r="K5" s="4" t="s">
        <v>15</v>
      </c>
      <c r="L5" s="4" t="s">
        <v>16</v>
      </c>
      <c r="M5" s="4" t="s">
        <v>17</v>
      </c>
    </row>
    <row r="6" spans="1:13" ht="54" customHeight="1">
      <c r="A6" s="5">
        <v>1</v>
      </c>
      <c r="B6" s="6" t="s">
        <v>316</v>
      </c>
      <c r="C6" s="40" t="s">
        <v>317</v>
      </c>
      <c r="D6" s="20" t="s">
        <v>318</v>
      </c>
      <c r="E6" s="7" t="s">
        <v>19</v>
      </c>
      <c r="F6" s="20" t="s">
        <v>319</v>
      </c>
      <c r="G6" s="6" t="s">
        <v>320</v>
      </c>
      <c r="H6" s="6" t="s">
        <v>321</v>
      </c>
      <c r="I6" s="6" t="s">
        <v>321</v>
      </c>
      <c r="J6" s="5" t="s">
        <v>21</v>
      </c>
      <c r="K6" s="7" t="s">
        <v>155</v>
      </c>
      <c r="L6" s="8">
        <v>46220</v>
      </c>
      <c r="M6" s="6"/>
    </row>
    <row r="7" spans="1:13" ht="54" customHeight="1">
      <c r="A7" s="5">
        <v>2</v>
      </c>
      <c r="B7" s="6" t="s">
        <v>322</v>
      </c>
      <c r="C7" s="40" t="s">
        <v>317</v>
      </c>
      <c r="D7" s="7" t="s">
        <v>323</v>
      </c>
      <c r="E7" s="7" t="s">
        <v>324</v>
      </c>
      <c r="F7" s="7" t="s">
        <v>325</v>
      </c>
      <c r="G7" s="6" t="s">
        <v>326</v>
      </c>
      <c r="H7" s="7" t="s">
        <v>327</v>
      </c>
      <c r="I7" s="7" t="s">
        <v>327</v>
      </c>
      <c r="J7" s="5" t="s">
        <v>21</v>
      </c>
      <c r="K7" s="7" t="s">
        <v>155</v>
      </c>
      <c r="L7" s="8">
        <v>46220</v>
      </c>
      <c r="M7" s="6"/>
    </row>
    <row r="8" spans="1:13" ht="54" customHeight="1">
      <c r="A8" s="5">
        <v>3</v>
      </c>
      <c r="B8" s="6" t="s">
        <v>328</v>
      </c>
      <c r="C8" s="40" t="s">
        <v>317</v>
      </c>
      <c r="D8" s="7" t="s">
        <v>329</v>
      </c>
      <c r="E8" s="7" t="s">
        <v>324</v>
      </c>
      <c r="F8" s="7" t="s">
        <v>330</v>
      </c>
      <c r="G8" s="6" t="s">
        <v>331</v>
      </c>
      <c r="H8" s="6" t="s">
        <v>332</v>
      </c>
      <c r="I8" s="6" t="s">
        <v>332</v>
      </c>
      <c r="J8" s="5" t="s">
        <v>21</v>
      </c>
      <c r="K8" s="7" t="s">
        <v>155</v>
      </c>
      <c r="L8" s="8">
        <v>46220</v>
      </c>
      <c r="M8" s="6"/>
    </row>
    <row r="9" spans="1:13" ht="54" customHeight="1">
      <c r="A9" s="5">
        <v>4</v>
      </c>
      <c r="B9" s="6" t="s">
        <v>333</v>
      </c>
      <c r="C9" s="40" t="s">
        <v>317</v>
      </c>
      <c r="D9" s="7" t="s">
        <v>334</v>
      </c>
      <c r="E9" s="7" t="s">
        <v>324</v>
      </c>
      <c r="F9" s="20" t="s">
        <v>319</v>
      </c>
      <c r="G9" s="6" t="s">
        <v>335</v>
      </c>
      <c r="H9" s="6" t="s">
        <v>321</v>
      </c>
      <c r="I9" s="6" t="s">
        <v>321</v>
      </c>
      <c r="J9" s="5" t="s">
        <v>21</v>
      </c>
      <c r="K9" s="7" t="s">
        <v>155</v>
      </c>
      <c r="L9" s="8">
        <v>46220</v>
      </c>
      <c r="M9" s="6"/>
    </row>
    <row r="10" spans="1:13" ht="54" customHeight="1">
      <c r="A10" s="5">
        <v>5</v>
      </c>
      <c r="B10" s="6" t="s">
        <v>336</v>
      </c>
      <c r="C10" s="40" t="s">
        <v>317</v>
      </c>
      <c r="D10" s="7" t="s">
        <v>337</v>
      </c>
      <c r="E10" s="7" t="s">
        <v>324</v>
      </c>
      <c r="F10" s="7" t="s">
        <v>338</v>
      </c>
      <c r="G10" s="6" t="s">
        <v>339</v>
      </c>
      <c r="H10" s="6" t="s">
        <v>321</v>
      </c>
      <c r="I10" s="6" t="s">
        <v>321</v>
      </c>
      <c r="J10" s="5" t="s">
        <v>21</v>
      </c>
      <c r="K10" s="7" t="s">
        <v>155</v>
      </c>
      <c r="L10" s="8">
        <v>46220</v>
      </c>
      <c r="M10" s="6"/>
    </row>
    <row r="11" spans="1:13" ht="54" customHeight="1">
      <c r="A11" s="5">
        <v>6</v>
      </c>
      <c r="B11" s="6" t="s">
        <v>340</v>
      </c>
      <c r="C11" s="40" t="s">
        <v>317</v>
      </c>
      <c r="D11" s="7" t="s">
        <v>341</v>
      </c>
      <c r="E11" s="7" t="s">
        <v>324</v>
      </c>
      <c r="F11" s="7" t="s">
        <v>342</v>
      </c>
      <c r="G11" s="6" t="s">
        <v>343</v>
      </c>
      <c r="H11" s="16" t="s">
        <v>332</v>
      </c>
      <c r="I11" s="7" t="s">
        <v>332</v>
      </c>
      <c r="J11" s="5" t="s">
        <v>21</v>
      </c>
      <c r="K11" s="16" t="s">
        <v>155</v>
      </c>
      <c r="L11" s="8">
        <v>46220</v>
      </c>
      <c r="M11" s="6"/>
    </row>
    <row r="12" spans="1:13" ht="54" customHeight="1">
      <c r="A12" s="5">
        <v>7</v>
      </c>
      <c r="B12" s="6" t="s">
        <v>344</v>
      </c>
      <c r="C12" s="40" t="s">
        <v>317</v>
      </c>
      <c r="D12" s="7" t="s">
        <v>345</v>
      </c>
      <c r="E12" s="7" t="s">
        <v>324</v>
      </c>
      <c r="F12" s="7" t="s">
        <v>346</v>
      </c>
      <c r="G12" s="6" t="s">
        <v>347</v>
      </c>
      <c r="H12" s="7" t="s">
        <v>332</v>
      </c>
      <c r="I12" s="7" t="s">
        <v>332</v>
      </c>
      <c r="J12" s="5" t="s">
        <v>21</v>
      </c>
      <c r="K12" s="16" t="s">
        <v>155</v>
      </c>
      <c r="L12" s="8">
        <v>46220</v>
      </c>
      <c r="M12" s="6"/>
    </row>
    <row r="13" spans="1:13" ht="54" customHeight="1">
      <c r="A13" s="5">
        <v>8</v>
      </c>
      <c r="B13" s="6" t="s">
        <v>348</v>
      </c>
      <c r="C13" s="40" t="s">
        <v>317</v>
      </c>
      <c r="D13" s="7" t="s">
        <v>349</v>
      </c>
      <c r="E13" s="7" t="s">
        <v>324</v>
      </c>
      <c r="F13" s="7" t="s">
        <v>350</v>
      </c>
      <c r="G13" s="6" t="s">
        <v>351</v>
      </c>
      <c r="H13" s="7" t="s">
        <v>332</v>
      </c>
      <c r="I13" s="7" t="s">
        <v>332</v>
      </c>
      <c r="J13" s="5" t="s">
        <v>21</v>
      </c>
      <c r="K13" s="16" t="s">
        <v>155</v>
      </c>
      <c r="L13" s="8">
        <v>46220</v>
      </c>
      <c r="M13" s="6"/>
    </row>
    <row r="14" spans="1:13" ht="54" customHeight="1">
      <c r="A14" s="5">
        <v>9</v>
      </c>
      <c r="B14" s="6" t="s">
        <v>352</v>
      </c>
      <c r="C14" s="40" t="s">
        <v>317</v>
      </c>
      <c r="D14" s="7" t="s">
        <v>353</v>
      </c>
      <c r="E14" s="7" t="s">
        <v>324</v>
      </c>
      <c r="F14" s="7" t="s">
        <v>354</v>
      </c>
      <c r="G14" s="6" t="s">
        <v>355</v>
      </c>
      <c r="H14" s="7" t="s">
        <v>332</v>
      </c>
      <c r="I14" s="7" t="s">
        <v>332</v>
      </c>
      <c r="J14" s="5" t="s">
        <v>21</v>
      </c>
      <c r="K14" s="16" t="s">
        <v>155</v>
      </c>
      <c r="L14" s="8">
        <v>46220</v>
      </c>
      <c r="M14" s="6"/>
    </row>
    <row r="15" spans="1:13" ht="54" customHeight="1">
      <c r="A15" s="5">
        <v>10</v>
      </c>
      <c r="B15" s="6" t="s">
        <v>356</v>
      </c>
      <c r="C15" s="40" t="s">
        <v>317</v>
      </c>
      <c r="D15" s="7" t="s">
        <v>357</v>
      </c>
      <c r="E15" s="7" t="s">
        <v>324</v>
      </c>
      <c r="F15" s="7" t="s">
        <v>358</v>
      </c>
      <c r="G15" s="6" t="s">
        <v>359</v>
      </c>
      <c r="H15" s="7" t="s">
        <v>332</v>
      </c>
      <c r="I15" s="7" t="s">
        <v>332</v>
      </c>
      <c r="J15" s="5" t="s">
        <v>21</v>
      </c>
      <c r="K15" s="16" t="s">
        <v>155</v>
      </c>
      <c r="L15" s="8">
        <v>46220</v>
      </c>
      <c r="M15" s="6"/>
    </row>
    <row r="16" spans="1:13" ht="54" customHeight="1">
      <c r="A16" s="5">
        <v>11</v>
      </c>
      <c r="B16" s="6" t="s">
        <v>360</v>
      </c>
      <c r="C16" s="40" t="s">
        <v>317</v>
      </c>
      <c r="D16" s="7" t="s">
        <v>361</v>
      </c>
      <c r="E16" s="7" t="s">
        <v>362</v>
      </c>
      <c r="F16" s="7" t="s">
        <v>363</v>
      </c>
      <c r="G16" s="6" t="s">
        <v>364</v>
      </c>
      <c r="H16" s="7" t="s">
        <v>327</v>
      </c>
      <c r="I16" s="7" t="s">
        <v>327</v>
      </c>
      <c r="J16" s="5" t="s">
        <v>21</v>
      </c>
      <c r="K16" s="16" t="s">
        <v>155</v>
      </c>
      <c r="L16" s="8">
        <v>46220</v>
      </c>
      <c r="M16" s="6"/>
    </row>
    <row r="17" spans="1:13" ht="54" customHeight="1">
      <c r="A17" s="5">
        <v>12</v>
      </c>
      <c r="B17" s="6" t="s">
        <v>365</v>
      </c>
      <c r="C17" s="40" t="s">
        <v>317</v>
      </c>
      <c r="D17" s="7" t="s">
        <v>366</v>
      </c>
      <c r="E17" s="7" t="s">
        <v>362</v>
      </c>
      <c r="F17" s="7" t="s">
        <v>367</v>
      </c>
      <c r="G17" s="6" t="s">
        <v>368</v>
      </c>
      <c r="H17" s="7" t="s">
        <v>332</v>
      </c>
      <c r="I17" s="7" t="s">
        <v>332</v>
      </c>
      <c r="J17" s="5" t="s">
        <v>21</v>
      </c>
      <c r="K17" s="16" t="s">
        <v>155</v>
      </c>
      <c r="L17" s="8">
        <v>46220</v>
      </c>
      <c r="M17" s="6"/>
    </row>
    <row r="18" spans="1:13" ht="54" customHeight="1">
      <c r="A18" s="5">
        <v>13</v>
      </c>
      <c r="B18" s="6" t="s">
        <v>369</v>
      </c>
      <c r="C18" s="40" t="s">
        <v>317</v>
      </c>
      <c r="D18" s="7" t="s">
        <v>370</v>
      </c>
      <c r="E18" s="7" t="s">
        <v>362</v>
      </c>
      <c r="F18" s="20" t="s">
        <v>319</v>
      </c>
      <c r="G18" s="6" t="s">
        <v>371</v>
      </c>
      <c r="H18" s="6" t="s">
        <v>321</v>
      </c>
      <c r="I18" s="6" t="s">
        <v>321</v>
      </c>
      <c r="J18" s="5" t="s">
        <v>21</v>
      </c>
      <c r="K18" s="16" t="s">
        <v>155</v>
      </c>
      <c r="L18" s="8">
        <v>46220</v>
      </c>
      <c r="M18" s="6"/>
    </row>
    <row r="19" spans="1:13" ht="54" customHeight="1">
      <c r="A19" s="5">
        <v>14</v>
      </c>
      <c r="B19" s="6" t="s">
        <v>372</v>
      </c>
      <c r="C19" s="40" t="s">
        <v>317</v>
      </c>
      <c r="D19" s="7" t="s">
        <v>373</v>
      </c>
      <c r="E19" s="7" t="s">
        <v>362</v>
      </c>
      <c r="F19" s="20" t="s">
        <v>319</v>
      </c>
      <c r="G19" s="6" t="s">
        <v>374</v>
      </c>
      <c r="H19" s="6" t="s">
        <v>321</v>
      </c>
      <c r="I19" s="6" t="s">
        <v>321</v>
      </c>
      <c r="J19" s="5" t="s">
        <v>21</v>
      </c>
      <c r="K19" s="16" t="s">
        <v>155</v>
      </c>
      <c r="L19" s="8">
        <v>46220</v>
      </c>
      <c r="M19" s="6"/>
    </row>
    <row r="20" spans="1:13" ht="54" customHeight="1">
      <c r="A20" s="5">
        <v>15</v>
      </c>
      <c r="B20" s="6" t="s">
        <v>375</v>
      </c>
      <c r="C20" s="40" t="s">
        <v>317</v>
      </c>
      <c r="D20" s="7" t="s">
        <v>376</v>
      </c>
      <c r="E20" s="7" t="s">
        <v>362</v>
      </c>
      <c r="F20" s="7" t="s">
        <v>377</v>
      </c>
      <c r="G20" s="6" t="s">
        <v>378</v>
      </c>
      <c r="H20" s="7" t="s">
        <v>332</v>
      </c>
      <c r="I20" s="7" t="s">
        <v>332</v>
      </c>
      <c r="J20" s="5" t="s">
        <v>21</v>
      </c>
      <c r="K20" s="16" t="s">
        <v>155</v>
      </c>
      <c r="L20" s="8">
        <v>46220</v>
      </c>
      <c r="M20" s="6"/>
    </row>
    <row r="21" spans="1:13" ht="54" customHeight="1">
      <c r="A21" s="5">
        <v>16</v>
      </c>
      <c r="B21" s="6" t="s">
        <v>379</v>
      </c>
      <c r="C21" s="40" t="s">
        <v>317</v>
      </c>
      <c r="D21" s="7" t="s">
        <v>380</v>
      </c>
      <c r="E21" s="7" t="s">
        <v>362</v>
      </c>
      <c r="F21" s="7" t="s">
        <v>381</v>
      </c>
      <c r="G21" s="6" t="s">
        <v>382</v>
      </c>
      <c r="H21" s="7" t="s">
        <v>332</v>
      </c>
      <c r="I21" s="7" t="s">
        <v>332</v>
      </c>
      <c r="J21" s="5" t="s">
        <v>21</v>
      </c>
      <c r="K21" s="16" t="s">
        <v>155</v>
      </c>
      <c r="L21" s="8">
        <v>46220</v>
      </c>
      <c r="M21" s="6"/>
    </row>
    <row r="22" spans="1:13" ht="54" customHeight="1">
      <c r="A22" s="5">
        <v>17</v>
      </c>
      <c r="B22" s="6" t="s">
        <v>383</v>
      </c>
      <c r="C22" s="40" t="s">
        <v>317</v>
      </c>
      <c r="D22" s="7" t="s">
        <v>384</v>
      </c>
      <c r="E22" s="7" t="s">
        <v>362</v>
      </c>
      <c r="F22" s="7" t="s">
        <v>385</v>
      </c>
      <c r="G22" s="6" t="s">
        <v>386</v>
      </c>
      <c r="H22" s="7" t="s">
        <v>332</v>
      </c>
      <c r="I22" s="7" t="s">
        <v>332</v>
      </c>
      <c r="J22" s="5" t="s">
        <v>21</v>
      </c>
      <c r="K22" s="16" t="s">
        <v>155</v>
      </c>
      <c r="L22" s="8">
        <v>46220</v>
      </c>
      <c r="M22" s="6"/>
    </row>
    <row r="23" spans="1:13" ht="54" customHeight="1">
      <c r="A23" s="5">
        <v>18</v>
      </c>
      <c r="B23" s="6" t="s">
        <v>387</v>
      </c>
      <c r="C23" s="40" t="s">
        <v>317</v>
      </c>
      <c r="D23" s="7" t="s">
        <v>388</v>
      </c>
      <c r="E23" s="7" t="s">
        <v>362</v>
      </c>
      <c r="F23" s="7" t="s">
        <v>389</v>
      </c>
      <c r="G23" s="6" t="s">
        <v>390</v>
      </c>
      <c r="H23" s="7" t="s">
        <v>332</v>
      </c>
      <c r="I23" s="7" t="s">
        <v>332</v>
      </c>
      <c r="J23" s="5" t="s">
        <v>21</v>
      </c>
      <c r="K23" s="16" t="s">
        <v>155</v>
      </c>
      <c r="L23" s="8">
        <v>46220</v>
      </c>
      <c r="M23" s="6"/>
    </row>
    <row r="24" spans="1:13" ht="54" customHeight="1">
      <c r="A24" s="5">
        <v>19</v>
      </c>
      <c r="B24" s="6" t="s">
        <v>391</v>
      </c>
      <c r="C24" s="40" t="s">
        <v>317</v>
      </c>
      <c r="D24" s="7" t="s">
        <v>392</v>
      </c>
      <c r="E24" s="7" t="s">
        <v>362</v>
      </c>
      <c r="F24" s="7" t="s">
        <v>393</v>
      </c>
      <c r="G24" s="6" t="s">
        <v>394</v>
      </c>
      <c r="H24" s="7" t="s">
        <v>332</v>
      </c>
      <c r="I24" s="7" t="s">
        <v>332</v>
      </c>
      <c r="J24" s="5" t="s">
        <v>21</v>
      </c>
      <c r="K24" s="16" t="s">
        <v>155</v>
      </c>
      <c r="L24" s="8">
        <v>46220</v>
      </c>
      <c r="M24" s="6"/>
    </row>
    <row r="25" spans="1:13" ht="54" customHeight="1">
      <c r="A25" s="5">
        <v>20</v>
      </c>
      <c r="B25" s="6" t="s">
        <v>395</v>
      </c>
      <c r="C25" s="40" t="s">
        <v>317</v>
      </c>
      <c r="D25" s="7" t="s">
        <v>396</v>
      </c>
      <c r="E25" s="6" t="s">
        <v>397</v>
      </c>
      <c r="F25" s="7" t="s">
        <v>398</v>
      </c>
      <c r="G25" s="6" t="s">
        <v>399</v>
      </c>
      <c r="H25" s="7" t="s">
        <v>327</v>
      </c>
      <c r="I25" s="7" t="s">
        <v>327</v>
      </c>
      <c r="J25" s="5" t="s">
        <v>21</v>
      </c>
      <c r="K25" s="16" t="s">
        <v>155</v>
      </c>
      <c r="L25" s="8">
        <v>46220</v>
      </c>
      <c r="M25" s="6"/>
    </row>
    <row r="26" spans="1:13" ht="54" customHeight="1">
      <c r="A26" s="5">
        <v>21</v>
      </c>
      <c r="B26" s="6" t="s">
        <v>400</v>
      </c>
      <c r="C26" s="40" t="s">
        <v>317</v>
      </c>
      <c r="D26" s="7" t="s">
        <v>401</v>
      </c>
      <c r="E26" s="6" t="s">
        <v>402</v>
      </c>
      <c r="F26" s="7" t="s">
        <v>403</v>
      </c>
      <c r="G26" s="6" t="s">
        <v>404</v>
      </c>
      <c r="H26" s="7" t="s">
        <v>405</v>
      </c>
      <c r="I26" s="7" t="s">
        <v>405</v>
      </c>
      <c r="J26" s="5" t="s">
        <v>21</v>
      </c>
      <c r="K26" s="16" t="s">
        <v>155</v>
      </c>
      <c r="L26" s="8">
        <v>46220</v>
      </c>
      <c r="M26" s="6"/>
    </row>
    <row r="27" spans="1:13" ht="54" customHeight="1">
      <c r="A27" s="5">
        <v>22</v>
      </c>
      <c r="B27" s="6" t="s">
        <v>406</v>
      </c>
      <c r="C27" s="40" t="s">
        <v>317</v>
      </c>
      <c r="D27" s="7" t="s">
        <v>407</v>
      </c>
      <c r="E27" s="6" t="s">
        <v>408</v>
      </c>
      <c r="F27" s="7" t="s">
        <v>409</v>
      </c>
      <c r="G27" s="6" t="s">
        <v>410</v>
      </c>
      <c r="H27" s="7" t="s">
        <v>411</v>
      </c>
      <c r="I27" s="7" t="s">
        <v>411</v>
      </c>
      <c r="J27" s="5" t="s">
        <v>21</v>
      </c>
      <c r="K27" s="16" t="s">
        <v>155</v>
      </c>
      <c r="L27" s="8">
        <v>46220</v>
      </c>
      <c r="M27" s="6"/>
    </row>
    <row r="28" spans="1:13" ht="54" customHeight="1">
      <c r="A28" s="5"/>
      <c r="B28" s="6"/>
      <c r="C28" s="40"/>
      <c r="D28" s="7"/>
      <c r="E28" s="6"/>
      <c r="F28" s="7"/>
      <c r="G28" s="16"/>
      <c r="H28" s="7"/>
      <c r="I28" s="6"/>
      <c r="J28" s="9"/>
      <c r="K28" s="6"/>
      <c r="L28" s="8"/>
      <c r="M28" s="6"/>
    </row>
    <row r="29" spans="1:13" ht="54" customHeight="1">
      <c r="A29" s="5"/>
      <c r="B29" s="6"/>
      <c r="C29" s="40"/>
      <c r="D29" s="7"/>
      <c r="E29" s="6"/>
      <c r="F29" s="7"/>
      <c r="G29" s="7"/>
      <c r="H29" s="7"/>
      <c r="I29" s="6"/>
      <c r="J29" s="9"/>
      <c r="K29" s="6"/>
      <c r="L29" s="8"/>
      <c r="M29" s="6"/>
    </row>
    <row r="30" spans="1:13" ht="54" customHeight="1">
      <c r="A30" s="5"/>
      <c r="B30" s="6"/>
      <c r="C30" s="40"/>
      <c r="D30" s="7"/>
      <c r="E30" s="6"/>
      <c r="F30" s="7"/>
      <c r="G30" s="7"/>
      <c r="H30" s="7"/>
      <c r="I30" s="6"/>
      <c r="J30" s="9"/>
      <c r="K30" s="6"/>
      <c r="L30" s="8"/>
      <c r="M30" s="6"/>
    </row>
    <row r="31" spans="1:13" ht="21.75" customHeight="1">
      <c r="A31" s="10"/>
      <c r="B31" s="11" t="s">
        <v>23</v>
      </c>
      <c r="C31" s="47" t="str">
        <f>CONCATENATE("OK ",COUNTIF(J6:J11,"OK"),"件　／　NG ",COUNTIF(J6:J11,"NG"),"件　／　未実施 ",COUNTIF(J6:J11,"未実施"),"件　／　合計 ",COUNTA(B6:B11),"件")</f>
        <v>OK 6件　／　NG 0件　／　未実施 0件　／　合計 6件</v>
      </c>
      <c r="D31" s="47"/>
      <c r="E31" s="47"/>
      <c r="F31" s="47"/>
      <c r="G31" s="47"/>
      <c r="H31" s="47"/>
      <c r="I31" s="47"/>
      <c r="J31" s="47"/>
      <c r="K31" s="47"/>
      <c r="L31" s="47"/>
      <c r="M31" s="47"/>
    </row>
  </sheetData>
  <mergeCells count="3">
    <mergeCell ref="A1:M1"/>
    <mergeCell ref="A2:M2"/>
    <mergeCell ref="C31:M31"/>
  </mergeCells>
  <phoneticPr fontId="12"/>
  <dataValidations count="1">
    <dataValidation type="list" allowBlank="1" sqref="J6:J30" xr:uid="{BB6BC1EA-27B8-4780-BF2F-7D25DC315499}">
      <formula1>"OK,NG,未実施,保留"</formula1>
      <formula2>0</formula2>
    </dataValidation>
  </dataValidation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1DEF-C8FC-4639-B0CB-C5331F59A5BD}">
  <sheetPr>
    <pageSetUpPr fitToPage="1"/>
  </sheetPr>
  <dimension ref="A1:M12"/>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9" customWidth="1"/>
    <col min="3" max="3" width="32.54296875" customWidth="1"/>
    <col min="4" max="4" width="24" customWidth="1"/>
    <col min="5" max="5" width="16" customWidth="1"/>
    <col min="6" max="6" width="26" customWidth="1"/>
    <col min="7" max="7" width="22" customWidth="1"/>
    <col min="8" max="8" width="28" customWidth="1"/>
    <col min="9" max="9" width="30.7265625" customWidth="1"/>
    <col min="10" max="10" width="7" customWidth="1"/>
    <col min="11" max="11" width="9" customWidth="1"/>
    <col min="12" max="12" width="12" customWidth="1"/>
    <col min="13" max="13" width="14" customWidth="1"/>
  </cols>
  <sheetData>
    <row r="1" spans="1:13" ht="24" customHeight="1">
      <c r="A1" s="42" t="s">
        <v>0</v>
      </c>
      <c r="B1" s="42"/>
      <c r="C1" s="42"/>
      <c r="D1" s="42"/>
      <c r="E1" s="42"/>
      <c r="F1" s="42"/>
      <c r="G1" s="42"/>
      <c r="H1" s="42"/>
      <c r="I1" s="42"/>
      <c r="J1" s="42"/>
      <c r="K1" s="42"/>
      <c r="L1" s="42"/>
      <c r="M1" s="42"/>
    </row>
    <row r="2" spans="1:13">
      <c r="A2" s="43" t="s">
        <v>1</v>
      </c>
      <c r="B2" s="43"/>
      <c r="C2" s="43"/>
      <c r="D2" s="43"/>
      <c r="E2" s="43"/>
      <c r="F2" s="43"/>
      <c r="G2" s="43"/>
      <c r="H2" s="43"/>
      <c r="I2" s="43"/>
      <c r="J2" s="43"/>
      <c r="K2" s="43"/>
      <c r="L2" s="43"/>
      <c r="M2" s="43"/>
    </row>
    <row r="3" spans="1:13">
      <c r="A3" s="1" t="s">
        <v>2</v>
      </c>
      <c r="B3" s="52" t="s">
        <v>571</v>
      </c>
      <c r="C3" s="1" t="s">
        <v>3</v>
      </c>
      <c r="D3" s="52" t="s">
        <v>569</v>
      </c>
      <c r="E3" s="1" t="s">
        <v>4</v>
      </c>
      <c r="F3" s="2"/>
    </row>
    <row r="5" spans="1:13" ht="31.5" customHeight="1">
      <c r="A5" s="3" t="s">
        <v>5</v>
      </c>
      <c r="B5" s="4" t="s">
        <v>6</v>
      </c>
      <c r="C5" s="4" t="s">
        <v>7</v>
      </c>
      <c r="D5" s="4" t="s">
        <v>8</v>
      </c>
      <c r="E5" s="4" t="s">
        <v>9</v>
      </c>
      <c r="F5" s="4" t="s">
        <v>10</v>
      </c>
      <c r="G5" s="4" t="s">
        <v>11</v>
      </c>
      <c r="H5" s="4" t="s">
        <v>12</v>
      </c>
      <c r="I5" s="4" t="s">
        <v>13</v>
      </c>
      <c r="J5" s="4" t="s">
        <v>14</v>
      </c>
      <c r="K5" s="4" t="s">
        <v>15</v>
      </c>
      <c r="L5" s="4" t="s">
        <v>16</v>
      </c>
      <c r="M5" s="4" t="s">
        <v>17</v>
      </c>
    </row>
    <row r="6" spans="1:13" ht="79.5" customHeight="1">
      <c r="A6" s="5">
        <v>1</v>
      </c>
      <c r="B6" s="6" t="s">
        <v>18</v>
      </c>
      <c r="C6" s="40" t="s">
        <v>24</v>
      </c>
      <c r="D6" s="20" t="s">
        <v>25</v>
      </c>
      <c r="E6" s="7" t="s">
        <v>26</v>
      </c>
      <c r="F6" s="7" t="s">
        <v>27</v>
      </c>
      <c r="G6" s="6" t="s">
        <v>28</v>
      </c>
      <c r="H6" s="6" t="s">
        <v>29</v>
      </c>
      <c r="I6" s="21" t="s">
        <v>30</v>
      </c>
      <c r="J6" s="5" t="s">
        <v>21</v>
      </c>
      <c r="K6" s="7" t="s">
        <v>31</v>
      </c>
      <c r="L6" s="8">
        <v>46218</v>
      </c>
      <c r="M6" s="6"/>
    </row>
    <row r="7" spans="1:13" ht="45" customHeight="1">
      <c r="A7" s="5">
        <v>2</v>
      </c>
      <c r="B7" s="6" t="s">
        <v>22</v>
      </c>
      <c r="C7" s="40" t="s">
        <v>24</v>
      </c>
      <c r="D7" s="7" t="s">
        <v>32</v>
      </c>
      <c r="E7" s="7" t="s">
        <v>33</v>
      </c>
      <c r="F7" s="7" t="s">
        <v>27</v>
      </c>
      <c r="G7" s="7" t="s">
        <v>28</v>
      </c>
      <c r="H7" s="7" t="s">
        <v>34</v>
      </c>
      <c r="I7" s="7" t="s">
        <v>35</v>
      </c>
      <c r="J7" s="5" t="s">
        <v>21</v>
      </c>
      <c r="K7" s="7" t="s">
        <v>31</v>
      </c>
      <c r="L7" s="8">
        <v>46218</v>
      </c>
      <c r="M7" s="6"/>
    </row>
    <row r="8" spans="1:13" ht="30" customHeight="1">
      <c r="A8" s="5">
        <v>3</v>
      </c>
      <c r="B8" s="6"/>
      <c r="C8" s="40"/>
      <c r="D8" s="7"/>
      <c r="E8" s="7"/>
      <c r="F8" s="7"/>
      <c r="G8" s="6"/>
      <c r="H8" s="6"/>
      <c r="I8" s="6"/>
      <c r="J8" s="5"/>
      <c r="K8" s="7"/>
      <c r="L8" s="8"/>
      <c r="M8" s="6"/>
    </row>
    <row r="9" spans="1:13" ht="30" customHeight="1">
      <c r="A9" s="5">
        <v>4</v>
      </c>
      <c r="B9" s="6"/>
      <c r="C9" s="40"/>
      <c r="D9" s="7"/>
      <c r="E9" s="7"/>
      <c r="F9" s="7"/>
      <c r="G9" s="7"/>
      <c r="H9" s="7"/>
      <c r="I9" s="7"/>
      <c r="J9" s="5"/>
      <c r="K9" s="7"/>
      <c r="L9" s="8"/>
      <c r="M9" s="6"/>
    </row>
    <row r="10" spans="1:13" ht="30" customHeight="1">
      <c r="A10" s="5">
        <v>5</v>
      </c>
      <c r="B10" s="6"/>
      <c r="C10" s="40"/>
      <c r="D10" s="7"/>
      <c r="E10" s="7"/>
      <c r="F10" s="7"/>
      <c r="G10" s="6"/>
      <c r="H10" s="6"/>
      <c r="I10" s="6"/>
      <c r="J10" s="5"/>
      <c r="K10" s="7"/>
      <c r="L10" s="8"/>
      <c r="M10" s="6"/>
    </row>
    <row r="11" spans="1:13" ht="30" customHeight="1">
      <c r="A11" s="5">
        <v>6</v>
      </c>
      <c r="B11" s="6"/>
      <c r="C11" s="40"/>
      <c r="D11" s="7"/>
      <c r="E11" s="6"/>
      <c r="F11" s="7"/>
      <c r="G11" s="7"/>
      <c r="H11" s="7"/>
      <c r="I11" s="6"/>
      <c r="J11" s="9"/>
      <c r="K11" s="6"/>
      <c r="L11" s="8"/>
      <c r="M11" s="6"/>
    </row>
    <row r="12" spans="1:13" ht="21.75" customHeight="1">
      <c r="A12" s="10"/>
      <c r="B12" s="11" t="s">
        <v>23</v>
      </c>
      <c r="C12" s="44" t="str">
        <f>CONCATENATE("OK ",COUNTIF(J6:J11,"OK"),"件　／　NG ",COUNTIF(J6:J11,"NG"),"件　／　未実施 ",COUNTIF(J6:J11,"未実施"),"件　／　合計 ",COUNTA(B6:B11),"件")</f>
        <v>OK 2件　／　NG 0件　／　未実施 0件　／　合計 2件</v>
      </c>
      <c r="D12" s="45"/>
      <c r="E12" s="45"/>
      <c r="F12" s="45"/>
      <c r="G12" s="45"/>
      <c r="H12" s="45"/>
      <c r="I12" s="45"/>
      <c r="J12" s="45"/>
      <c r="K12" s="45"/>
      <c r="L12" s="45"/>
      <c r="M12" s="46"/>
    </row>
  </sheetData>
  <mergeCells count="3">
    <mergeCell ref="A1:M1"/>
    <mergeCell ref="A2:M2"/>
    <mergeCell ref="C12:M12"/>
  </mergeCells>
  <phoneticPr fontId="12"/>
  <dataValidations count="1">
    <dataValidation type="list" allowBlank="1" sqref="J6:J11" xr:uid="{9BD7FF95-F0CC-445D-B99E-D1F8C1EF400C}">
      <formula1>"OK,NG,未実施,保留"</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2C54-FF5A-430A-A1B3-9FFB6C8481C1}">
  <sheetPr>
    <pageSetUpPr fitToPage="1"/>
  </sheetPr>
  <dimension ref="A1:M19"/>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9" customWidth="1"/>
    <col min="3" max="3" width="22" customWidth="1"/>
    <col min="4" max="4" width="24" customWidth="1"/>
    <col min="5" max="5" width="27.26953125" customWidth="1"/>
    <col min="6" max="6" width="26" customWidth="1"/>
    <col min="7" max="8" width="37.81640625" customWidth="1"/>
    <col min="9" max="9" width="23.453125" bestFit="1" customWidth="1"/>
    <col min="10" max="10" width="7" customWidth="1"/>
    <col min="11" max="11" width="9" customWidth="1"/>
    <col min="12" max="12" width="12" customWidth="1"/>
    <col min="13" max="13" width="14" customWidth="1"/>
  </cols>
  <sheetData>
    <row r="1" spans="1:13" ht="24" customHeight="1">
      <c r="A1" s="42" t="s">
        <v>0</v>
      </c>
      <c r="B1" s="42"/>
      <c r="C1" s="42"/>
      <c r="D1" s="42"/>
      <c r="E1" s="42"/>
      <c r="F1" s="42"/>
      <c r="G1" s="42"/>
      <c r="H1" s="42"/>
      <c r="I1" s="42"/>
      <c r="J1" s="42"/>
      <c r="K1" s="42"/>
      <c r="L1" s="42"/>
      <c r="M1" s="42"/>
    </row>
    <row r="2" spans="1:13">
      <c r="A2" s="43" t="s">
        <v>1</v>
      </c>
      <c r="B2" s="43"/>
      <c r="C2" s="43"/>
      <c r="D2" s="43"/>
      <c r="E2" s="43"/>
      <c r="F2" s="43"/>
      <c r="G2" s="43"/>
      <c r="H2" s="43"/>
      <c r="I2" s="43"/>
      <c r="J2" s="43"/>
      <c r="K2" s="43"/>
      <c r="L2" s="43"/>
      <c r="M2" s="43"/>
    </row>
    <row r="3" spans="1:13">
      <c r="A3" s="1" t="s">
        <v>2</v>
      </c>
      <c r="B3" s="52" t="s">
        <v>571</v>
      </c>
      <c r="C3" s="1" t="s">
        <v>3</v>
      </c>
      <c r="D3" s="52" t="s">
        <v>419</v>
      </c>
      <c r="E3" s="1" t="s">
        <v>4</v>
      </c>
      <c r="F3" s="2"/>
    </row>
    <row r="5" spans="1:13" ht="31.5" customHeight="1">
      <c r="A5" s="3" t="s">
        <v>5</v>
      </c>
      <c r="B5" s="30" t="s">
        <v>6</v>
      </c>
      <c r="C5" s="30" t="s">
        <v>7</v>
      </c>
      <c r="D5" s="30" t="s">
        <v>8</v>
      </c>
      <c r="E5" s="30" t="s">
        <v>9</v>
      </c>
      <c r="F5" s="30" t="s">
        <v>10</v>
      </c>
      <c r="G5" s="30" t="s">
        <v>11</v>
      </c>
      <c r="H5" s="30" t="s">
        <v>12</v>
      </c>
      <c r="I5" s="30" t="s">
        <v>13</v>
      </c>
      <c r="J5" s="30" t="s">
        <v>14</v>
      </c>
      <c r="K5" s="30" t="s">
        <v>15</v>
      </c>
      <c r="L5" s="30" t="s">
        <v>16</v>
      </c>
      <c r="M5" s="30" t="s">
        <v>17</v>
      </c>
    </row>
    <row r="6" spans="1:13" ht="30" customHeight="1">
      <c r="A6" s="29">
        <v>1</v>
      </c>
      <c r="B6" s="32" t="s">
        <v>412</v>
      </c>
      <c r="C6" s="35" t="s">
        <v>413</v>
      </c>
      <c r="D6" s="32" t="s">
        <v>414</v>
      </c>
      <c r="E6" s="32" t="s">
        <v>415</v>
      </c>
      <c r="F6" s="32" t="s">
        <v>416</v>
      </c>
      <c r="G6" s="32" t="s">
        <v>417</v>
      </c>
      <c r="H6" s="36" t="s">
        <v>418</v>
      </c>
      <c r="I6" s="32" t="s">
        <v>20</v>
      </c>
      <c r="J6" s="33" t="s">
        <v>21</v>
      </c>
      <c r="K6" s="32" t="s">
        <v>419</v>
      </c>
      <c r="L6" s="34">
        <v>46219</v>
      </c>
      <c r="M6" s="32"/>
    </row>
    <row r="7" spans="1:13" ht="30" customHeight="1">
      <c r="A7" s="29">
        <v>2</v>
      </c>
      <c r="B7" s="32" t="s">
        <v>420</v>
      </c>
      <c r="C7" s="35" t="s">
        <v>413</v>
      </c>
      <c r="D7" s="32" t="s">
        <v>421</v>
      </c>
      <c r="E7" s="32" t="s">
        <v>415</v>
      </c>
      <c r="F7" s="32" t="s">
        <v>416</v>
      </c>
      <c r="G7" s="32" t="s">
        <v>422</v>
      </c>
      <c r="H7" s="32" t="s">
        <v>423</v>
      </c>
      <c r="I7" s="32" t="s">
        <v>423</v>
      </c>
      <c r="J7" s="33" t="s">
        <v>21</v>
      </c>
      <c r="K7" s="32" t="s">
        <v>419</v>
      </c>
      <c r="L7" s="34">
        <v>46219</v>
      </c>
      <c r="M7" s="32"/>
    </row>
    <row r="8" spans="1:13" ht="30" customHeight="1">
      <c r="A8" s="29">
        <v>3</v>
      </c>
      <c r="B8" s="32" t="s">
        <v>424</v>
      </c>
      <c r="C8" s="35" t="s">
        <v>413</v>
      </c>
      <c r="D8" s="32" t="s">
        <v>425</v>
      </c>
      <c r="E8" s="32" t="s">
        <v>415</v>
      </c>
      <c r="F8" s="32" t="s">
        <v>416</v>
      </c>
      <c r="G8" s="32" t="s">
        <v>426</v>
      </c>
      <c r="H8" s="32" t="s">
        <v>423</v>
      </c>
      <c r="I8" s="32" t="s">
        <v>423</v>
      </c>
      <c r="J8" s="33" t="s">
        <v>21</v>
      </c>
      <c r="K8" s="32" t="s">
        <v>419</v>
      </c>
      <c r="L8" s="34">
        <v>46219</v>
      </c>
      <c r="M8" s="32"/>
    </row>
    <row r="9" spans="1:13" ht="30" customHeight="1">
      <c r="A9" s="29">
        <v>4</v>
      </c>
      <c r="B9" s="32" t="s">
        <v>427</v>
      </c>
      <c r="C9" s="35" t="s">
        <v>413</v>
      </c>
      <c r="D9" s="32" t="s">
        <v>428</v>
      </c>
      <c r="E9" s="32" t="s">
        <v>415</v>
      </c>
      <c r="F9" s="32" t="s">
        <v>416</v>
      </c>
      <c r="G9" s="32" t="s">
        <v>429</v>
      </c>
      <c r="H9" s="39" t="s">
        <v>430</v>
      </c>
      <c r="I9" s="39" t="s">
        <v>430</v>
      </c>
      <c r="J9" s="33" t="s">
        <v>21</v>
      </c>
      <c r="K9" s="32" t="s">
        <v>419</v>
      </c>
      <c r="L9" s="34">
        <v>46219</v>
      </c>
      <c r="M9" s="32"/>
    </row>
    <row r="10" spans="1:13" ht="30" customHeight="1">
      <c r="A10" s="29">
        <v>5</v>
      </c>
      <c r="B10" s="32" t="s">
        <v>431</v>
      </c>
      <c r="C10" s="35" t="s">
        <v>413</v>
      </c>
      <c r="D10" s="32" t="s">
        <v>432</v>
      </c>
      <c r="E10" s="32" t="s">
        <v>415</v>
      </c>
      <c r="F10" s="32" t="s">
        <v>416</v>
      </c>
      <c r="G10" s="32" t="s">
        <v>433</v>
      </c>
      <c r="H10" s="39" t="s">
        <v>430</v>
      </c>
      <c r="I10" s="39" t="s">
        <v>430</v>
      </c>
      <c r="J10" s="33" t="s">
        <v>21</v>
      </c>
      <c r="K10" s="32" t="s">
        <v>419</v>
      </c>
      <c r="L10" s="34">
        <v>46219</v>
      </c>
      <c r="M10" s="32"/>
    </row>
    <row r="11" spans="1:13" ht="30" customHeight="1">
      <c r="A11" s="29">
        <v>6</v>
      </c>
      <c r="B11" s="32" t="s">
        <v>434</v>
      </c>
      <c r="C11" s="35" t="s">
        <v>413</v>
      </c>
      <c r="D11" s="32" t="s">
        <v>435</v>
      </c>
      <c r="E11" s="32" t="s">
        <v>415</v>
      </c>
      <c r="F11" s="32" t="s">
        <v>416</v>
      </c>
      <c r="G11" s="32" t="s">
        <v>436</v>
      </c>
      <c r="H11" s="39" t="s">
        <v>430</v>
      </c>
      <c r="I11" s="39" t="s">
        <v>430</v>
      </c>
      <c r="J11" s="33" t="s">
        <v>21</v>
      </c>
      <c r="K11" s="32" t="s">
        <v>419</v>
      </c>
      <c r="L11" s="34">
        <v>46219</v>
      </c>
      <c r="M11" s="32"/>
    </row>
    <row r="12" spans="1:13" ht="30" customHeight="1">
      <c r="A12" s="29">
        <v>7</v>
      </c>
      <c r="B12" s="32" t="s">
        <v>437</v>
      </c>
      <c r="C12" s="35" t="s">
        <v>413</v>
      </c>
      <c r="D12" s="32" t="s">
        <v>438</v>
      </c>
      <c r="E12" s="32" t="s">
        <v>415</v>
      </c>
      <c r="F12" s="32" t="s">
        <v>416</v>
      </c>
      <c r="G12" s="32" t="s">
        <v>439</v>
      </c>
      <c r="H12" s="39" t="s">
        <v>440</v>
      </c>
      <c r="I12" s="39" t="s">
        <v>440</v>
      </c>
      <c r="J12" s="33" t="s">
        <v>21</v>
      </c>
      <c r="K12" s="32" t="s">
        <v>419</v>
      </c>
      <c r="L12" s="34">
        <v>46219</v>
      </c>
      <c r="M12" s="32"/>
    </row>
    <row r="13" spans="1:13" ht="30" customHeight="1">
      <c r="A13" s="29">
        <v>8</v>
      </c>
      <c r="B13" s="32" t="s">
        <v>441</v>
      </c>
      <c r="C13" s="35" t="s">
        <v>413</v>
      </c>
      <c r="D13" s="32" t="s">
        <v>442</v>
      </c>
      <c r="E13" s="32" t="s">
        <v>415</v>
      </c>
      <c r="F13" s="32" t="s">
        <v>416</v>
      </c>
      <c r="G13" s="32" t="s">
        <v>443</v>
      </c>
      <c r="H13" s="39" t="s">
        <v>444</v>
      </c>
      <c r="I13" s="39" t="s">
        <v>444</v>
      </c>
      <c r="J13" s="33" t="s">
        <v>21</v>
      </c>
      <c r="K13" s="32" t="s">
        <v>419</v>
      </c>
      <c r="L13" s="34">
        <v>46219</v>
      </c>
      <c r="M13" s="32"/>
    </row>
    <row r="14" spans="1:13" ht="30" customHeight="1">
      <c r="A14" s="29">
        <v>9</v>
      </c>
      <c r="B14" s="32" t="s">
        <v>445</v>
      </c>
      <c r="C14" s="35" t="s">
        <v>413</v>
      </c>
      <c r="D14" s="32" t="s">
        <v>446</v>
      </c>
      <c r="E14" s="36" t="s">
        <v>447</v>
      </c>
      <c r="F14" s="32" t="s">
        <v>416</v>
      </c>
      <c r="G14" s="32" t="s">
        <v>426</v>
      </c>
      <c r="H14" s="32" t="s">
        <v>448</v>
      </c>
      <c r="I14" s="32" t="s">
        <v>448</v>
      </c>
      <c r="J14" s="33" t="s">
        <v>21</v>
      </c>
      <c r="K14" s="32" t="s">
        <v>419</v>
      </c>
      <c r="L14" s="34">
        <v>46219</v>
      </c>
      <c r="M14" s="32"/>
    </row>
    <row r="15" spans="1:13" ht="30" customHeight="1">
      <c r="A15" s="29">
        <v>10</v>
      </c>
      <c r="B15" s="32" t="s">
        <v>449</v>
      </c>
      <c r="C15" s="35" t="s">
        <v>413</v>
      </c>
      <c r="D15" s="32" t="s">
        <v>450</v>
      </c>
      <c r="E15" s="36" t="s">
        <v>451</v>
      </c>
      <c r="F15" s="32" t="s">
        <v>416</v>
      </c>
      <c r="G15" s="32" t="s">
        <v>452</v>
      </c>
      <c r="H15" s="32" t="s">
        <v>448</v>
      </c>
      <c r="I15" s="32" t="s">
        <v>448</v>
      </c>
      <c r="J15" s="33" t="s">
        <v>21</v>
      </c>
      <c r="K15" s="32" t="s">
        <v>419</v>
      </c>
      <c r="L15" s="34">
        <v>46219</v>
      </c>
      <c r="M15" s="32"/>
    </row>
    <row r="16" spans="1:13" ht="30" customHeight="1">
      <c r="A16" s="29">
        <v>11</v>
      </c>
      <c r="B16" s="32" t="s">
        <v>453</v>
      </c>
      <c r="C16" s="35" t="s">
        <v>413</v>
      </c>
      <c r="D16" s="32" t="s">
        <v>454</v>
      </c>
      <c r="E16" s="36" t="s">
        <v>455</v>
      </c>
      <c r="F16" s="32" t="s">
        <v>416</v>
      </c>
      <c r="G16" s="32" t="s">
        <v>452</v>
      </c>
      <c r="H16" s="32" t="s">
        <v>448</v>
      </c>
      <c r="I16" s="32" t="s">
        <v>448</v>
      </c>
      <c r="J16" s="33" t="s">
        <v>21</v>
      </c>
      <c r="K16" s="32" t="s">
        <v>419</v>
      </c>
      <c r="L16" s="34">
        <v>46219</v>
      </c>
      <c r="M16" s="32"/>
    </row>
    <row r="17" spans="1:13" ht="30" customHeight="1">
      <c r="A17" s="29">
        <v>12</v>
      </c>
      <c r="B17" s="32" t="s">
        <v>456</v>
      </c>
      <c r="C17" s="35" t="s">
        <v>457</v>
      </c>
      <c r="D17" s="32" t="s">
        <v>458</v>
      </c>
      <c r="E17" s="37" t="s">
        <v>459</v>
      </c>
      <c r="F17" s="32" t="s">
        <v>460</v>
      </c>
      <c r="G17" s="32"/>
      <c r="H17" s="38" t="s">
        <v>461</v>
      </c>
      <c r="I17" s="38" t="s">
        <v>461</v>
      </c>
      <c r="J17" s="33" t="s">
        <v>21</v>
      </c>
      <c r="K17" s="32" t="s">
        <v>419</v>
      </c>
      <c r="L17" s="34">
        <v>46219</v>
      </c>
      <c r="M17" s="32"/>
    </row>
    <row r="18" spans="1:13" ht="30" customHeight="1">
      <c r="A18" s="29">
        <v>13</v>
      </c>
      <c r="B18" s="32" t="s">
        <v>462</v>
      </c>
      <c r="C18" s="35" t="s">
        <v>457</v>
      </c>
      <c r="D18" s="32" t="s">
        <v>463</v>
      </c>
      <c r="E18" s="32"/>
      <c r="F18" s="32" t="s">
        <v>460</v>
      </c>
      <c r="G18" s="32"/>
      <c r="H18" s="38" t="s">
        <v>461</v>
      </c>
      <c r="I18" s="38" t="s">
        <v>461</v>
      </c>
      <c r="J18" s="33" t="s">
        <v>21</v>
      </c>
      <c r="K18" s="32" t="s">
        <v>419</v>
      </c>
      <c r="L18" s="34">
        <v>46219</v>
      </c>
      <c r="M18" s="32"/>
    </row>
    <row r="19" spans="1:13" ht="21.75" customHeight="1">
      <c r="A19" s="10"/>
      <c r="B19" s="31" t="s">
        <v>23</v>
      </c>
      <c r="C19" s="51" t="str">
        <f>CONCATENATE("OK ",COUNTIF(J6:J18,"OK"),"件　／　NG ",COUNTIF(J6:J18,"NG"),"件　／　未実施 ",COUNTIF(J6:J18,"未実施"),"件　／　合計 ",COUNTA(B6:B18),"件")</f>
        <v>OK 13件　／　NG 0件　／　未実施 0件　／　合計 13件</v>
      </c>
      <c r="D19" s="51"/>
      <c r="E19" s="51"/>
      <c r="F19" s="51"/>
      <c r="G19" s="51"/>
      <c r="H19" s="51"/>
      <c r="I19" s="51"/>
      <c r="J19" s="51"/>
      <c r="K19" s="51"/>
      <c r="L19" s="51"/>
      <c r="M19" s="51"/>
    </row>
  </sheetData>
  <mergeCells count="3">
    <mergeCell ref="A1:M1"/>
    <mergeCell ref="A2:M2"/>
    <mergeCell ref="C19:M19"/>
  </mergeCells>
  <phoneticPr fontId="12"/>
  <dataValidations count="1">
    <dataValidation type="list" allowBlank="1" sqref="J6:J18" xr:uid="{8926780C-F5F7-4B3F-B26D-C28015B31584}">
      <formula1>"OK,NG,未実施,保留"</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1564-6B71-4E5D-B4E4-834CE301E089}">
  <sheetPr>
    <pageSetUpPr fitToPage="1"/>
  </sheetPr>
  <dimension ref="A1:M31"/>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9" customWidth="1"/>
    <col min="3" max="3" width="22" customWidth="1"/>
    <col min="4" max="4" width="36.54296875" customWidth="1"/>
    <col min="5" max="5" width="40.81640625" customWidth="1"/>
    <col min="6" max="6" width="26" customWidth="1"/>
    <col min="7" max="7" width="46.54296875" customWidth="1"/>
    <col min="8" max="8" width="35.453125" customWidth="1"/>
    <col min="9" max="9" width="57.1796875" customWidth="1"/>
    <col min="10" max="10" width="7" customWidth="1"/>
    <col min="11" max="11" width="9" customWidth="1"/>
    <col min="12" max="12" width="12" customWidth="1"/>
    <col min="13" max="13" width="14" customWidth="1"/>
  </cols>
  <sheetData>
    <row r="1" spans="1:13" ht="24" customHeight="1">
      <c r="A1" s="42" t="s">
        <v>0</v>
      </c>
      <c r="B1" s="42"/>
      <c r="C1" s="42"/>
      <c r="D1" s="42"/>
      <c r="E1" s="42"/>
      <c r="F1" s="42"/>
      <c r="G1" s="42"/>
      <c r="H1" s="42"/>
      <c r="I1" s="42"/>
      <c r="J1" s="42"/>
      <c r="K1" s="42"/>
      <c r="L1" s="42"/>
      <c r="M1" s="42"/>
    </row>
    <row r="2" spans="1:13">
      <c r="A2" s="43" t="s">
        <v>1</v>
      </c>
      <c r="B2" s="43"/>
      <c r="C2" s="43"/>
      <c r="D2" s="43"/>
      <c r="E2" s="43"/>
      <c r="F2" s="43"/>
      <c r="G2" s="43"/>
      <c r="H2" s="43"/>
      <c r="I2" s="43"/>
      <c r="J2" s="43"/>
      <c r="K2" s="43"/>
      <c r="L2" s="43"/>
      <c r="M2" s="43"/>
    </row>
    <row r="3" spans="1:13">
      <c r="A3" s="1" t="s">
        <v>2</v>
      </c>
      <c r="B3" s="52" t="s">
        <v>571</v>
      </c>
      <c r="C3" s="1" t="s">
        <v>3</v>
      </c>
      <c r="D3" s="52" t="s">
        <v>570</v>
      </c>
      <c r="E3" s="1" t="s">
        <v>4</v>
      </c>
      <c r="F3" s="2"/>
    </row>
    <row r="5" spans="1:13" ht="31.5" customHeight="1">
      <c r="A5" s="3" t="s">
        <v>5</v>
      </c>
      <c r="B5" s="4" t="s">
        <v>6</v>
      </c>
      <c r="C5" s="4" t="s">
        <v>7</v>
      </c>
      <c r="D5" s="4" t="s">
        <v>8</v>
      </c>
      <c r="E5" s="4" t="s">
        <v>9</v>
      </c>
      <c r="F5" s="4" t="s">
        <v>10</v>
      </c>
      <c r="G5" s="4" t="s">
        <v>11</v>
      </c>
      <c r="H5" s="4" t="s">
        <v>12</v>
      </c>
      <c r="I5" s="4" t="s">
        <v>13</v>
      </c>
      <c r="J5" s="4" t="s">
        <v>14</v>
      </c>
      <c r="K5" s="4" t="s">
        <v>15</v>
      </c>
      <c r="L5" s="4" t="s">
        <v>16</v>
      </c>
      <c r="M5" s="4" t="s">
        <v>17</v>
      </c>
    </row>
    <row r="6" spans="1:13" ht="91.5" customHeight="1">
      <c r="A6" s="5">
        <v>1</v>
      </c>
      <c r="B6" s="6" t="s">
        <v>499</v>
      </c>
      <c r="C6" s="40" t="s">
        <v>500</v>
      </c>
      <c r="D6" s="20" t="s">
        <v>318</v>
      </c>
      <c r="E6" s="7" t="s">
        <v>19</v>
      </c>
      <c r="F6" s="20" t="s">
        <v>474</v>
      </c>
      <c r="G6" s="6" t="s">
        <v>501</v>
      </c>
      <c r="H6" s="6" t="s">
        <v>502</v>
      </c>
      <c r="I6" s="6" t="s">
        <v>502</v>
      </c>
      <c r="J6" s="5" t="s">
        <v>21</v>
      </c>
      <c r="K6" s="7" t="s">
        <v>470</v>
      </c>
      <c r="L6" s="8">
        <v>46220</v>
      </c>
      <c r="M6" s="6"/>
    </row>
    <row r="7" spans="1:13" ht="105" customHeight="1">
      <c r="A7" s="5">
        <v>2</v>
      </c>
      <c r="B7" s="6" t="s">
        <v>503</v>
      </c>
      <c r="C7" s="40" t="s">
        <v>500</v>
      </c>
      <c r="D7" s="7" t="s">
        <v>504</v>
      </c>
      <c r="E7" s="7" t="s">
        <v>19</v>
      </c>
      <c r="F7" s="20" t="s">
        <v>474</v>
      </c>
      <c r="G7" s="6" t="s">
        <v>505</v>
      </c>
      <c r="H7" s="7" t="s">
        <v>506</v>
      </c>
      <c r="I7" s="7" t="s">
        <v>506</v>
      </c>
      <c r="J7" s="5" t="s">
        <v>21</v>
      </c>
      <c r="K7" s="7" t="s">
        <v>470</v>
      </c>
      <c r="L7" s="8">
        <v>46220</v>
      </c>
      <c r="M7" s="6"/>
    </row>
    <row r="8" spans="1:13" ht="105" customHeight="1">
      <c r="A8" s="5">
        <v>3</v>
      </c>
      <c r="B8" s="6" t="s">
        <v>507</v>
      </c>
      <c r="C8" s="40" t="s">
        <v>500</v>
      </c>
      <c r="D8" s="7" t="s">
        <v>508</v>
      </c>
      <c r="E8" s="7" t="s">
        <v>19</v>
      </c>
      <c r="F8" s="20" t="s">
        <v>474</v>
      </c>
      <c r="G8" s="6" t="s">
        <v>509</v>
      </c>
      <c r="H8" s="6" t="s">
        <v>481</v>
      </c>
      <c r="I8" s="41" t="s">
        <v>481</v>
      </c>
      <c r="J8" s="5" t="s">
        <v>21</v>
      </c>
      <c r="K8" s="7" t="s">
        <v>470</v>
      </c>
      <c r="L8" s="8">
        <v>46220</v>
      </c>
      <c r="M8" s="6"/>
    </row>
    <row r="9" spans="1:13" ht="105" customHeight="1">
      <c r="A9" s="5">
        <v>4</v>
      </c>
      <c r="B9" s="6" t="s">
        <v>510</v>
      </c>
      <c r="C9" s="40" t="s">
        <v>500</v>
      </c>
      <c r="D9" s="7" t="s">
        <v>511</v>
      </c>
      <c r="E9" s="7" t="s">
        <v>19</v>
      </c>
      <c r="F9" s="20" t="s">
        <v>474</v>
      </c>
      <c r="G9" s="6" t="s">
        <v>512</v>
      </c>
      <c r="H9" s="6" t="s">
        <v>502</v>
      </c>
      <c r="I9" s="6" t="s">
        <v>502</v>
      </c>
      <c r="J9" s="5" t="s">
        <v>21</v>
      </c>
      <c r="K9" s="7" t="s">
        <v>470</v>
      </c>
      <c r="L9" s="8">
        <v>46220</v>
      </c>
      <c r="M9" s="6"/>
    </row>
    <row r="10" spans="1:13" ht="105" customHeight="1">
      <c r="A10" s="5">
        <v>5</v>
      </c>
      <c r="B10" s="6" t="s">
        <v>513</v>
      </c>
      <c r="C10" s="40" t="s">
        <v>500</v>
      </c>
      <c r="D10" s="7" t="s">
        <v>514</v>
      </c>
      <c r="E10" s="7" t="s">
        <v>19</v>
      </c>
      <c r="F10" s="20" t="s">
        <v>474</v>
      </c>
      <c r="G10" s="6" t="s">
        <v>515</v>
      </c>
      <c r="H10" s="6" t="s">
        <v>502</v>
      </c>
      <c r="I10" s="6" t="s">
        <v>502</v>
      </c>
      <c r="J10" s="5" t="s">
        <v>21</v>
      </c>
      <c r="K10" s="7" t="s">
        <v>470</v>
      </c>
      <c r="L10" s="8">
        <v>46220</v>
      </c>
      <c r="M10" s="6"/>
    </row>
    <row r="11" spans="1:13" ht="105" customHeight="1">
      <c r="A11" s="5">
        <v>6</v>
      </c>
      <c r="B11" s="6" t="s">
        <v>516</v>
      </c>
      <c r="C11" s="40" t="s">
        <v>500</v>
      </c>
      <c r="D11" s="7" t="s">
        <v>517</v>
      </c>
      <c r="E11" s="7" t="s">
        <v>19</v>
      </c>
      <c r="F11" s="20" t="s">
        <v>474</v>
      </c>
      <c r="G11" s="6" t="s">
        <v>518</v>
      </c>
      <c r="H11" s="6" t="s">
        <v>481</v>
      </c>
      <c r="I11" s="7" t="s">
        <v>481</v>
      </c>
      <c r="J11" s="5" t="s">
        <v>21</v>
      </c>
      <c r="K11" s="7" t="s">
        <v>470</v>
      </c>
      <c r="L11" s="8">
        <v>46220</v>
      </c>
      <c r="M11" s="6"/>
    </row>
    <row r="12" spans="1:13" ht="105" customHeight="1">
      <c r="A12" s="5">
        <v>7</v>
      </c>
      <c r="B12" s="6" t="s">
        <v>519</v>
      </c>
      <c r="C12" s="40" t="s">
        <v>500</v>
      </c>
      <c r="D12" s="7" t="s">
        <v>520</v>
      </c>
      <c r="E12" s="7" t="s">
        <v>19</v>
      </c>
      <c r="F12" s="20" t="s">
        <v>474</v>
      </c>
      <c r="G12" s="6" t="s">
        <v>521</v>
      </c>
      <c r="H12" s="7" t="s">
        <v>506</v>
      </c>
      <c r="I12" s="7" t="s">
        <v>506</v>
      </c>
      <c r="J12" s="5" t="s">
        <v>21</v>
      </c>
      <c r="K12" s="7" t="s">
        <v>470</v>
      </c>
      <c r="L12" s="8">
        <v>46220</v>
      </c>
      <c r="M12" s="6"/>
    </row>
    <row r="13" spans="1:13" ht="105" customHeight="1">
      <c r="A13" s="5">
        <v>8</v>
      </c>
      <c r="B13" s="6" t="s">
        <v>522</v>
      </c>
      <c r="C13" s="40" t="s">
        <v>500</v>
      </c>
      <c r="D13" s="7" t="s">
        <v>523</v>
      </c>
      <c r="E13" s="7" t="s">
        <v>19</v>
      </c>
      <c r="F13" s="20" t="s">
        <v>474</v>
      </c>
      <c r="G13" s="6" t="s">
        <v>524</v>
      </c>
      <c r="H13" s="6" t="s">
        <v>481</v>
      </c>
      <c r="I13" s="7" t="s">
        <v>481</v>
      </c>
      <c r="J13" s="5" t="s">
        <v>21</v>
      </c>
      <c r="K13" s="7" t="s">
        <v>470</v>
      </c>
      <c r="L13" s="8">
        <v>46220</v>
      </c>
      <c r="M13" s="6"/>
    </row>
    <row r="14" spans="1:13" ht="123" customHeight="1">
      <c r="A14" s="5">
        <v>9</v>
      </c>
      <c r="B14" s="6" t="s">
        <v>525</v>
      </c>
      <c r="C14" s="40" t="s">
        <v>500</v>
      </c>
      <c r="D14" s="7" t="s">
        <v>526</v>
      </c>
      <c r="E14" s="7" t="s">
        <v>19</v>
      </c>
      <c r="F14" s="20" t="s">
        <v>474</v>
      </c>
      <c r="G14" s="6" t="s">
        <v>527</v>
      </c>
      <c r="H14" s="6" t="s">
        <v>502</v>
      </c>
      <c r="I14" s="7" t="s">
        <v>502</v>
      </c>
      <c r="J14" s="5" t="s">
        <v>21</v>
      </c>
      <c r="K14" s="7" t="s">
        <v>470</v>
      </c>
      <c r="L14" s="8">
        <v>46220</v>
      </c>
      <c r="M14" s="6"/>
    </row>
    <row r="15" spans="1:13" ht="123" customHeight="1">
      <c r="A15" s="5">
        <v>10</v>
      </c>
      <c r="B15" s="6" t="s">
        <v>528</v>
      </c>
      <c r="C15" s="40" t="s">
        <v>500</v>
      </c>
      <c r="D15" s="7" t="s">
        <v>529</v>
      </c>
      <c r="E15" s="7" t="s">
        <v>19</v>
      </c>
      <c r="F15" s="20" t="s">
        <v>474</v>
      </c>
      <c r="G15" s="6" t="s">
        <v>530</v>
      </c>
      <c r="H15" s="7" t="s">
        <v>502</v>
      </c>
      <c r="I15" s="7" t="s">
        <v>502</v>
      </c>
      <c r="J15" s="5" t="s">
        <v>21</v>
      </c>
      <c r="K15" s="7" t="s">
        <v>470</v>
      </c>
      <c r="L15" s="8">
        <v>46220</v>
      </c>
      <c r="M15" s="6"/>
    </row>
    <row r="16" spans="1:13" ht="123" customHeight="1">
      <c r="A16" s="5">
        <v>11</v>
      </c>
      <c r="B16" s="6" t="s">
        <v>531</v>
      </c>
      <c r="C16" s="40" t="s">
        <v>500</v>
      </c>
      <c r="D16" s="7" t="s">
        <v>532</v>
      </c>
      <c r="E16" s="7" t="s">
        <v>19</v>
      </c>
      <c r="F16" s="20" t="s">
        <v>474</v>
      </c>
      <c r="G16" s="6" t="s">
        <v>533</v>
      </c>
      <c r="H16" s="7" t="s">
        <v>481</v>
      </c>
      <c r="I16" s="7" t="s">
        <v>481</v>
      </c>
      <c r="J16" s="5" t="s">
        <v>21</v>
      </c>
      <c r="K16" s="7" t="s">
        <v>470</v>
      </c>
      <c r="L16" s="8">
        <v>46220</v>
      </c>
      <c r="M16" s="6"/>
    </row>
    <row r="17" spans="1:13" ht="123" customHeight="1">
      <c r="A17" s="5">
        <v>12</v>
      </c>
      <c r="B17" s="6" t="s">
        <v>534</v>
      </c>
      <c r="C17" s="40" t="s">
        <v>500</v>
      </c>
      <c r="D17" s="7" t="s">
        <v>535</v>
      </c>
      <c r="E17" s="7" t="s">
        <v>19</v>
      </c>
      <c r="F17" s="20" t="s">
        <v>474</v>
      </c>
      <c r="G17" s="6" t="s">
        <v>536</v>
      </c>
      <c r="H17" s="7" t="s">
        <v>506</v>
      </c>
      <c r="I17" s="7" t="s">
        <v>506</v>
      </c>
      <c r="J17" s="5" t="s">
        <v>21</v>
      </c>
      <c r="K17" s="7" t="s">
        <v>470</v>
      </c>
      <c r="L17" s="8">
        <v>46220</v>
      </c>
      <c r="M17" s="6"/>
    </row>
    <row r="18" spans="1:13" ht="123" customHeight="1">
      <c r="A18" s="5">
        <v>13</v>
      </c>
      <c r="B18" s="6" t="s">
        <v>537</v>
      </c>
      <c r="C18" s="40" t="s">
        <v>500</v>
      </c>
      <c r="D18" s="7" t="s">
        <v>538</v>
      </c>
      <c r="E18" s="7" t="s">
        <v>19</v>
      </c>
      <c r="F18" s="20" t="s">
        <v>474</v>
      </c>
      <c r="G18" s="6" t="s">
        <v>539</v>
      </c>
      <c r="H18" s="7" t="s">
        <v>481</v>
      </c>
      <c r="I18" s="7" t="s">
        <v>481</v>
      </c>
      <c r="J18" s="5" t="s">
        <v>21</v>
      </c>
      <c r="K18" s="7" t="s">
        <v>470</v>
      </c>
      <c r="L18" s="8">
        <v>46220</v>
      </c>
      <c r="M18" s="6"/>
    </row>
    <row r="19" spans="1:13" ht="123" customHeight="1">
      <c r="A19" s="5">
        <v>14</v>
      </c>
      <c r="B19" s="6" t="s">
        <v>540</v>
      </c>
      <c r="C19" s="40" t="s">
        <v>500</v>
      </c>
      <c r="D19" s="7" t="s">
        <v>541</v>
      </c>
      <c r="E19" s="7" t="s">
        <v>19</v>
      </c>
      <c r="F19" s="20" t="s">
        <v>474</v>
      </c>
      <c r="G19" s="6" t="s">
        <v>542</v>
      </c>
      <c r="H19" s="7" t="s">
        <v>502</v>
      </c>
      <c r="I19" s="7" t="s">
        <v>502</v>
      </c>
      <c r="J19" s="5" t="s">
        <v>21</v>
      </c>
      <c r="K19" s="7" t="s">
        <v>470</v>
      </c>
      <c r="L19" s="8">
        <v>46220</v>
      </c>
      <c r="M19" s="6"/>
    </row>
    <row r="20" spans="1:13" ht="123" customHeight="1">
      <c r="A20" s="5">
        <v>15</v>
      </c>
      <c r="B20" s="6" t="s">
        <v>543</v>
      </c>
      <c r="C20" s="40" t="s">
        <v>500</v>
      </c>
      <c r="D20" s="7" t="s">
        <v>544</v>
      </c>
      <c r="E20" s="7" t="s">
        <v>19</v>
      </c>
      <c r="F20" s="20" t="s">
        <v>474</v>
      </c>
      <c r="G20" s="6" t="s">
        <v>545</v>
      </c>
      <c r="H20" s="7" t="s">
        <v>502</v>
      </c>
      <c r="I20" s="7" t="s">
        <v>502</v>
      </c>
      <c r="J20" s="5" t="s">
        <v>21</v>
      </c>
      <c r="K20" s="7" t="s">
        <v>470</v>
      </c>
      <c r="L20" s="8">
        <v>46220</v>
      </c>
      <c r="M20" s="6"/>
    </row>
    <row r="21" spans="1:13" ht="123" customHeight="1">
      <c r="A21" s="5">
        <v>16</v>
      </c>
      <c r="B21" s="6" t="s">
        <v>546</v>
      </c>
      <c r="C21" s="40" t="s">
        <v>500</v>
      </c>
      <c r="D21" s="7" t="s">
        <v>547</v>
      </c>
      <c r="E21" s="7" t="s">
        <v>19</v>
      </c>
      <c r="F21" s="20" t="s">
        <v>474</v>
      </c>
      <c r="G21" s="6" t="s">
        <v>548</v>
      </c>
      <c r="H21" s="7" t="s">
        <v>481</v>
      </c>
      <c r="I21" s="7" t="s">
        <v>481</v>
      </c>
      <c r="J21" s="5" t="s">
        <v>21</v>
      </c>
      <c r="K21" s="7" t="s">
        <v>470</v>
      </c>
      <c r="L21" s="8">
        <v>46220</v>
      </c>
      <c r="M21" s="6"/>
    </row>
    <row r="22" spans="1:13" ht="123" customHeight="1">
      <c r="A22" s="5">
        <v>17</v>
      </c>
      <c r="B22" s="6" t="s">
        <v>549</v>
      </c>
      <c r="C22" s="40" t="s">
        <v>500</v>
      </c>
      <c r="D22" s="7" t="s">
        <v>550</v>
      </c>
      <c r="E22" s="7" t="s">
        <v>19</v>
      </c>
      <c r="F22" s="20" t="s">
        <v>474</v>
      </c>
      <c r="G22" s="6" t="s">
        <v>551</v>
      </c>
      <c r="H22" s="7" t="s">
        <v>506</v>
      </c>
      <c r="I22" s="7" t="s">
        <v>506</v>
      </c>
      <c r="J22" s="5" t="s">
        <v>21</v>
      </c>
      <c r="K22" s="7" t="s">
        <v>470</v>
      </c>
      <c r="L22" s="8">
        <v>46220</v>
      </c>
      <c r="M22" s="6"/>
    </row>
    <row r="23" spans="1:13" ht="54" customHeight="1">
      <c r="A23" s="5">
        <v>18</v>
      </c>
      <c r="B23" s="6" t="s">
        <v>552</v>
      </c>
      <c r="C23" s="40" t="s">
        <v>500</v>
      </c>
      <c r="D23" s="7" t="s">
        <v>553</v>
      </c>
      <c r="E23" s="7" t="s">
        <v>19</v>
      </c>
      <c r="F23" s="20" t="s">
        <v>474</v>
      </c>
      <c r="G23" s="6" t="s">
        <v>554</v>
      </c>
      <c r="H23" s="7" t="s">
        <v>481</v>
      </c>
      <c r="I23" s="7" t="s">
        <v>481</v>
      </c>
      <c r="J23" s="5" t="s">
        <v>21</v>
      </c>
      <c r="K23" s="7" t="s">
        <v>470</v>
      </c>
      <c r="L23" s="8">
        <v>46220</v>
      </c>
      <c r="M23" s="6"/>
    </row>
    <row r="24" spans="1:13" ht="54" customHeight="1">
      <c r="A24" s="5">
        <v>19</v>
      </c>
      <c r="B24" s="6" t="s">
        <v>555</v>
      </c>
      <c r="C24" s="40" t="s">
        <v>500</v>
      </c>
      <c r="D24" s="7" t="s">
        <v>556</v>
      </c>
      <c r="E24" s="7" t="s">
        <v>19</v>
      </c>
      <c r="F24" s="20" t="s">
        <v>474</v>
      </c>
      <c r="G24" s="6" t="s">
        <v>557</v>
      </c>
      <c r="H24" s="6" t="s">
        <v>481</v>
      </c>
      <c r="I24" s="6" t="s">
        <v>481</v>
      </c>
      <c r="J24" s="5" t="s">
        <v>21</v>
      </c>
      <c r="K24" s="7" t="s">
        <v>470</v>
      </c>
      <c r="L24" s="8">
        <v>46220</v>
      </c>
      <c r="M24" s="6"/>
    </row>
    <row r="25" spans="1:13" ht="54" customHeight="1">
      <c r="A25" s="5">
        <v>20</v>
      </c>
      <c r="B25" s="6" t="s">
        <v>558</v>
      </c>
      <c r="C25" s="40" t="s">
        <v>500</v>
      </c>
      <c r="D25" s="7" t="s">
        <v>559</v>
      </c>
      <c r="E25" s="7" t="s">
        <v>560</v>
      </c>
      <c r="F25" s="20" t="s">
        <v>474</v>
      </c>
      <c r="G25" s="6" t="s">
        <v>561</v>
      </c>
      <c r="H25" s="7" t="s">
        <v>562</v>
      </c>
      <c r="I25" s="7" t="s">
        <v>562</v>
      </c>
      <c r="J25" s="5" t="s">
        <v>21</v>
      </c>
      <c r="K25" s="7" t="s">
        <v>470</v>
      </c>
      <c r="L25" s="8">
        <v>46220</v>
      </c>
      <c r="M25" s="6"/>
    </row>
    <row r="26" spans="1:13" ht="54" customHeight="1">
      <c r="A26" s="5"/>
      <c r="B26" s="6"/>
      <c r="C26" s="40"/>
      <c r="D26" s="7"/>
      <c r="E26" s="6"/>
      <c r="F26" s="7"/>
      <c r="G26" s="6"/>
      <c r="H26" s="7"/>
      <c r="I26" s="7"/>
      <c r="J26" s="9"/>
      <c r="K26" s="6"/>
      <c r="L26" s="8"/>
      <c r="M26" s="6"/>
    </row>
    <row r="27" spans="1:13" ht="54" customHeight="1">
      <c r="A27" s="5"/>
      <c r="B27" s="6"/>
      <c r="C27" s="40"/>
      <c r="D27" s="7"/>
      <c r="E27" s="6"/>
      <c r="F27" s="7"/>
      <c r="G27" s="6"/>
      <c r="H27" s="7"/>
      <c r="I27" s="7"/>
      <c r="J27" s="9"/>
      <c r="K27" s="6"/>
      <c r="L27" s="8"/>
      <c r="M27" s="6"/>
    </row>
    <row r="28" spans="1:13" ht="54" customHeight="1">
      <c r="A28" s="5"/>
      <c r="B28" s="6"/>
      <c r="C28" s="40"/>
      <c r="D28" s="7"/>
      <c r="E28" s="6"/>
      <c r="F28" s="7"/>
      <c r="G28" s="7"/>
      <c r="H28" s="7"/>
      <c r="I28" s="6"/>
      <c r="J28" s="9"/>
      <c r="K28" s="6"/>
      <c r="L28" s="8"/>
      <c r="M28" s="6"/>
    </row>
    <row r="29" spans="1:13" ht="54" customHeight="1">
      <c r="A29" s="5"/>
      <c r="B29" s="6"/>
      <c r="C29" s="40"/>
      <c r="D29" s="7"/>
      <c r="E29" s="6"/>
      <c r="F29" s="7"/>
      <c r="G29" s="7"/>
      <c r="H29" s="7"/>
      <c r="I29" s="6"/>
      <c r="J29" s="9"/>
      <c r="K29" s="6"/>
      <c r="L29" s="8"/>
      <c r="M29" s="6"/>
    </row>
    <row r="30" spans="1:13" ht="54" customHeight="1">
      <c r="A30" s="5"/>
      <c r="B30" s="6"/>
      <c r="C30" s="40"/>
      <c r="D30" s="7"/>
      <c r="E30" s="6"/>
      <c r="F30" s="7"/>
      <c r="G30" s="7"/>
      <c r="H30" s="7"/>
      <c r="I30" s="6"/>
      <c r="J30" s="9"/>
      <c r="K30" s="6"/>
      <c r="L30" s="8"/>
      <c r="M30" s="6"/>
    </row>
    <row r="31" spans="1:13" ht="21.75" customHeight="1">
      <c r="A31" s="10"/>
      <c r="B31" s="11" t="s">
        <v>23</v>
      </c>
      <c r="C31" s="44" t="str">
        <f>CONCATENATE("OK ",COUNTIF(J6:J25,"OK"),"件　／　NG ",COUNTIF(J6:J25,"NG"),"件　／　未実施 ",COUNTIF(J6:J25,"未実施"),"件　／　合計 ",COUNTA(B6:B25),"件")</f>
        <v>OK 20件　／　NG 0件　／　未実施 0件　／　合計 20件</v>
      </c>
      <c r="D31" s="45"/>
      <c r="E31" s="45"/>
      <c r="F31" s="45"/>
      <c r="G31" s="45"/>
      <c r="H31" s="45"/>
      <c r="I31" s="45"/>
      <c r="J31" s="45"/>
      <c r="K31" s="45"/>
      <c r="L31" s="45"/>
      <c r="M31" s="46"/>
    </row>
  </sheetData>
  <mergeCells count="3">
    <mergeCell ref="A1:M1"/>
    <mergeCell ref="A2:M2"/>
    <mergeCell ref="C31:M31"/>
  </mergeCells>
  <phoneticPr fontId="12"/>
  <dataValidations count="1">
    <dataValidation type="list" allowBlank="1" sqref="J6:J30" xr:uid="{03DF21D4-5DAF-426C-9B4A-F2E9DA95887C}">
      <formula1>"OK,NG,未実施,保留"</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8"/>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11.1796875" customWidth="1"/>
    <col min="3" max="3" width="54.453125" customWidth="1"/>
    <col min="4" max="4" width="32.7265625" customWidth="1"/>
    <col min="5" max="5" width="56.453125" customWidth="1"/>
    <col min="6" max="6" width="46.54296875" customWidth="1"/>
    <col min="7" max="7" width="37.26953125" customWidth="1"/>
    <col min="8" max="8" width="71.453125" customWidth="1"/>
    <col min="9" max="9" width="71.1796875" customWidth="1"/>
    <col min="10" max="10" width="7" customWidth="1"/>
    <col min="11" max="11" width="9" customWidth="1"/>
    <col min="12" max="12" width="12" customWidth="1"/>
    <col min="13" max="13" width="14" customWidth="1"/>
  </cols>
  <sheetData>
    <row r="1" spans="1:13" ht="24" customHeight="1">
      <c r="A1" s="42" t="s">
        <v>36</v>
      </c>
      <c r="B1" s="42"/>
      <c r="C1" s="42"/>
      <c r="D1" s="42"/>
      <c r="E1" s="42"/>
      <c r="F1" s="42"/>
      <c r="G1" s="42"/>
      <c r="H1" s="42"/>
      <c r="I1" s="42"/>
      <c r="J1" s="42"/>
      <c r="K1" s="42"/>
      <c r="L1" s="42"/>
      <c r="M1" s="42"/>
    </row>
    <row r="2" spans="1:13">
      <c r="A2" s="43" t="s">
        <v>1</v>
      </c>
      <c r="B2" s="43"/>
      <c r="C2" s="43"/>
      <c r="D2" s="43"/>
      <c r="E2" s="43"/>
      <c r="F2" s="43"/>
      <c r="G2" s="43"/>
      <c r="H2" s="43"/>
      <c r="I2" s="43"/>
      <c r="J2" s="43"/>
      <c r="K2" s="43"/>
      <c r="L2" s="43"/>
      <c r="M2" s="43"/>
    </row>
    <row r="3" spans="1:13">
      <c r="A3" s="1" t="s">
        <v>2</v>
      </c>
      <c r="B3" s="2" t="s">
        <v>37</v>
      </c>
      <c r="C3" s="1" t="s">
        <v>3</v>
      </c>
      <c r="D3" s="52" t="s">
        <v>563</v>
      </c>
      <c r="E3" s="1" t="s">
        <v>4</v>
      </c>
      <c r="F3" s="2" t="s">
        <v>38</v>
      </c>
    </row>
    <row r="5" spans="1:13" ht="31.5" customHeight="1">
      <c r="A5" s="3" t="s">
        <v>5</v>
      </c>
      <c r="B5" s="4" t="s">
        <v>6</v>
      </c>
      <c r="C5" s="4" t="s">
        <v>7</v>
      </c>
      <c r="D5" s="4" t="s">
        <v>8</v>
      </c>
      <c r="E5" s="4" t="s">
        <v>9</v>
      </c>
      <c r="F5" s="4" t="s">
        <v>10</v>
      </c>
      <c r="G5" s="4" t="s">
        <v>11</v>
      </c>
      <c r="H5" s="4" t="s">
        <v>12</v>
      </c>
      <c r="I5" s="4" t="s">
        <v>13</v>
      </c>
      <c r="J5" s="4" t="s">
        <v>14</v>
      </c>
      <c r="K5" s="4" t="s">
        <v>15</v>
      </c>
      <c r="L5" s="4" t="s">
        <v>16</v>
      </c>
      <c r="M5" s="4" t="s">
        <v>17</v>
      </c>
    </row>
    <row r="6" spans="1:13" ht="53.25" customHeight="1">
      <c r="A6" s="5">
        <v>1</v>
      </c>
      <c r="B6" s="6" t="s">
        <v>39</v>
      </c>
      <c r="C6" s="12" t="s">
        <v>40</v>
      </c>
      <c r="D6" s="12" t="s">
        <v>41</v>
      </c>
      <c r="E6" s="13" t="s">
        <v>42</v>
      </c>
      <c r="F6" s="13" t="s">
        <v>43</v>
      </c>
      <c r="G6" s="13" t="s">
        <v>44</v>
      </c>
      <c r="H6" s="13" t="s">
        <v>45</v>
      </c>
      <c r="I6" s="6" t="s">
        <v>46</v>
      </c>
      <c r="J6" s="9" t="s">
        <v>21</v>
      </c>
      <c r="K6" s="6" t="s">
        <v>47</v>
      </c>
      <c r="L6" s="8">
        <v>46219</v>
      </c>
      <c r="M6" s="6"/>
    </row>
    <row r="7" spans="1:13" ht="53.25" customHeight="1">
      <c r="A7" s="5">
        <v>2</v>
      </c>
      <c r="B7" s="6" t="s">
        <v>48</v>
      </c>
      <c r="C7" s="14" t="s">
        <v>49</v>
      </c>
      <c r="D7" s="14" t="s">
        <v>50</v>
      </c>
      <c r="E7" s="15" t="s">
        <v>51</v>
      </c>
      <c r="F7" s="15" t="s">
        <v>52</v>
      </c>
      <c r="G7" s="15" t="s">
        <v>53</v>
      </c>
      <c r="H7" s="15" t="s">
        <v>54</v>
      </c>
      <c r="I7" s="6" t="s">
        <v>55</v>
      </c>
      <c r="J7" s="9" t="s">
        <v>21</v>
      </c>
      <c r="K7" s="6" t="s">
        <v>47</v>
      </c>
      <c r="L7" s="8">
        <v>46219</v>
      </c>
      <c r="M7" s="6"/>
    </row>
    <row r="8" spans="1:13" ht="53.25" customHeight="1">
      <c r="A8" s="5">
        <v>3</v>
      </c>
      <c r="B8" s="6" t="s">
        <v>56</v>
      </c>
      <c r="C8" s="14" t="s">
        <v>49</v>
      </c>
      <c r="D8" s="14" t="s">
        <v>57</v>
      </c>
      <c r="E8" s="15" t="s">
        <v>58</v>
      </c>
      <c r="F8" s="15" t="s">
        <v>59</v>
      </c>
      <c r="G8" s="15" t="s">
        <v>60</v>
      </c>
      <c r="H8" s="15" t="s">
        <v>61</v>
      </c>
      <c r="I8" s="15" t="s">
        <v>61</v>
      </c>
      <c r="J8" s="9" t="s">
        <v>21</v>
      </c>
      <c r="K8" s="6" t="s">
        <v>47</v>
      </c>
      <c r="L8" s="8">
        <v>46219</v>
      </c>
      <c r="M8" s="6"/>
    </row>
    <row r="9" spans="1:13" ht="53.25" customHeight="1">
      <c r="A9" s="5">
        <v>4</v>
      </c>
      <c r="B9" s="6" t="s">
        <v>62</v>
      </c>
      <c r="C9" s="14" t="s">
        <v>63</v>
      </c>
      <c r="D9" s="14" t="s">
        <v>64</v>
      </c>
      <c r="E9" s="15" t="s">
        <v>65</v>
      </c>
      <c r="F9" s="15" t="s">
        <v>66</v>
      </c>
      <c r="G9" s="15" t="s">
        <v>67</v>
      </c>
      <c r="H9" s="15" t="s">
        <v>68</v>
      </c>
      <c r="I9" s="15" t="s">
        <v>68</v>
      </c>
      <c r="J9" s="9" t="s">
        <v>21</v>
      </c>
      <c r="K9" s="6" t="s">
        <v>47</v>
      </c>
      <c r="L9" s="8">
        <v>46219</v>
      </c>
      <c r="M9" s="6"/>
    </row>
    <row r="10" spans="1:13" ht="53.25" customHeight="1">
      <c r="A10" s="5">
        <v>5</v>
      </c>
      <c r="B10" s="6" t="s">
        <v>69</v>
      </c>
      <c r="C10" s="14" t="s">
        <v>70</v>
      </c>
      <c r="D10" s="14" t="s">
        <v>71</v>
      </c>
      <c r="E10" s="15" t="s">
        <v>72</v>
      </c>
      <c r="F10" s="15" t="s">
        <v>73</v>
      </c>
      <c r="G10" s="15" t="s">
        <v>74</v>
      </c>
      <c r="H10" s="15" t="s">
        <v>75</v>
      </c>
      <c r="I10" s="15" t="s">
        <v>76</v>
      </c>
      <c r="J10" s="9" t="s">
        <v>21</v>
      </c>
      <c r="K10" s="6" t="s">
        <v>47</v>
      </c>
      <c r="L10" s="8">
        <v>46219</v>
      </c>
      <c r="M10" s="6"/>
    </row>
    <row r="11" spans="1:13" ht="53.25" customHeight="1">
      <c r="A11" s="5">
        <v>6</v>
      </c>
      <c r="B11" s="6" t="s">
        <v>77</v>
      </c>
      <c r="C11" s="14" t="s">
        <v>78</v>
      </c>
      <c r="D11" s="14" t="s">
        <v>79</v>
      </c>
      <c r="E11" s="15" t="s">
        <v>80</v>
      </c>
      <c r="F11" s="15" t="s">
        <v>81</v>
      </c>
      <c r="G11" s="15" t="s">
        <v>82</v>
      </c>
      <c r="H11" s="15" t="s">
        <v>83</v>
      </c>
      <c r="I11" s="15" t="s">
        <v>83</v>
      </c>
      <c r="J11" s="9" t="s">
        <v>21</v>
      </c>
      <c r="K11" s="6" t="s">
        <v>47</v>
      </c>
      <c r="L11" s="8">
        <v>46219</v>
      </c>
      <c r="M11" s="6"/>
    </row>
    <row r="12" spans="1:13" ht="53.25" customHeight="1">
      <c r="A12" s="5">
        <v>7</v>
      </c>
      <c r="B12" s="6" t="s">
        <v>84</v>
      </c>
      <c r="C12" s="14" t="s">
        <v>40</v>
      </c>
      <c r="D12" s="14" t="s">
        <v>85</v>
      </c>
      <c r="E12" s="15" t="s">
        <v>86</v>
      </c>
      <c r="F12" s="15" t="s">
        <v>87</v>
      </c>
      <c r="G12" s="15" t="s">
        <v>88</v>
      </c>
      <c r="H12" s="15" t="s">
        <v>89</v>
      </c>
      <c r="I12" s="15" t="s">
        <v>89</v>
      </c>
      <c r="J12" s="9" t="s">
        <v>21</v>
      </c>
      <c r="K12" s="6" t="s">
        <v>47</v>
      </c>
      <c r="L12" s="8">
        <v>46219</v>
      </c>
      <c r="M12" s="6"/>
    </row>
    <row r="13" spans="1:13" ht="53.25" customHeight="1">
      <c r="A13" s="5">
        <v>8</v>
      </c>
      <c r="B13" s="6" t="s">
        <v>90</v>
      </c>
      <c r="C13" s="14" t="s">
        <v>40</v>
      </c>
      <c r="D13" s="14" t="s">
        <v>91</v>
      </c>
      <c r="E13" s="15" t="s">
        <v>92</v>
      </c>
      <c r="F13" s="15" t="s">
        <v>93</v>
      </c>
      <c r="G13" s="15" t="s">
        <v>94</v>
      </c>
      <c r="H13" s="15" t="s">
        <v>89</v>
      </c>
      <c r="I13" s="15" t="s">
        <v>89</v>
      </c>
      <c r="J13" s="9" t="s">
        <v>21</v>
      </c>
      <c r="K13" s="6" t="s">
        <v>47</v>
      </c>
      <c r="L13" s="8">
        <v>46219</v>
      </c>
      <c r="M13" s="6"/>
    </row>
    <row r="14" spans="1:13" ht="53.25" customHeight="1">
      <c r="A14" s="5">
        <v>9</v>
      </c>
      <c r="B14" s="6" t="s">
        <v>95</v>
      </c>
      <c r="C14" s="14" t="s">
        <v>40</v>
      </c>
      <c r="D14" s="14" t="s">
        <v>96</v>
      </c>
      <c r="E14" s="15" t="s">
        <v>97</v>
      </c>
      <c r="F14" s="15" t="s">
        <v>98</v>
      </c>
      <c r="G14" s="15" t="s">
        <v>99</v>
      </c>
      <c r="H14" s="15" t="s">
        <v>89</v>
      </c>
      <c r="I14" s="15" t="s">
        <v>89</v>
      </c>
      <c r="J14" s="9" t="s">
        <v>21</v>
      </c>
      <c r="K14" s="6" t="s">
        <v>47</v>
      </c>
      <c r="L14" s="8">
        <v>46219</v>
      </c>
      <c r="M14" s="6"/>
    </row>
    <row r="15" spans="1:13" ht="53.25" customHeight="1">
      <c r="A15" s="5">
        <v>10</v>
      </c>
      <c r="B15" s="6" t="s">
        <v>100</v>
      </c>
      <c r="C15" s="16" t="s">
        <v>101</v>
      </c>
      <c r="D15" s="14" t="s">
        <v>102</v>
      </c>
      <c r="E15" s="15" t="s">
        <v>103</v>
      </c>
      <c r="F15" s="15" t="s">
        <v>52</v>
      </c>
      <c r="G15" s="15" t="s">
        <v>53</v>
      </c>
      <c r="H15" s="15" t="s">
        <v>104</v>
      </c>
      <c r="I15" s="15" t="s">
        <v>104</v>
      </c>
      <c r="J15" s="9" t="s">
        <v>21</v>
      </c>
      <c r="K15" s="6" t="s">
        <v>47</v>
      </c>
      <c r="L15" s="8">
        <v>46219</v>
      </c>
      <c r="M15" s="6"/>
    </row>
    <row r="16" spans="1:13" ht="53.25" customHeight="1">
      <c r="A16" s="5">
        <v>11</v>
      </c>
      <c r="B16" s="6" t="s">
        <v>105</v>
      </c>
      <c r="C16" s="28" t="s">
        <v>49</v>
      </c>
      <c r="D16" s="14" t="s">
        <v>106</v>
      </c>
      <c r="E16" s="15" t="s">
        <v>107</v>
      </c>
      <c r="F16" s="15" t="s">
        <v>108</v>
      </c>
      <c r="G16" s="15" t="s">
        <v>53</v>
      </c>
      <c r="H16" s="15" t="s">
        <v>109</v>
      </c>
      <c r="I16" s="15" t="s">
        <v>109</v>
      </c>
      <c r="J16" s="9" t="s">
        <v>21</v>
      </c>
      <c r="K16" s="6" t="s">
        <v>47</v>
      </c>
      <c r="L16" s="8">
        <v>46219</v>
      </c>
      <c r="M16" s="6"/>
    </row>
    <row r="17" spans="1:13" ht="53.25" customHeight="1">
      <c r="A17" s="5">
        <v>12</v>
      </c>
      <c r="B17" s="6" t="s">
        <v>110</v>
      </c>
      <c r="C17" s="28" t="s">
        <v>40</v>
      </c>
      <c r="D17" s="14" t="s">
        <v>111</v>
      </c>
      <c r="E17" s="15" t="s">
        <v>112</v>
      </c>
      <c r="F17" s="15" t="s">
        <v>43</v>
      </c>
      <c r="G17" s="15" t="s">
        <v>113</v>
      </c>
      <c r="H17" s="15" t="s">
        <v>114</v>
      </c>
      <c r="I17" s="15" t="s">
        <v>114</v>
      </c>
      <c r="J17" s="9" t="s">
        <v>21</v>
      </c>
      <c r="K17" s="6" t="s">
        <v>47</v>
      </c>
      <c r="L17" s="8">
        <v>46219</v>
      </c>
      <c r="M17" s="6"/>
    </row>
    <row r="18" spans="1:13" ht="21.75" customHeight="1">
      <c r="A18" s="10"/>
      <c r="B18" s="11" t="s">
        <v>23</v>
      </c>
      <c r="C18" s="44" t="str">
        <f>CONCATENATE("OK ",COUNTIF(J6:J11,"OK"),"件　／　NG ",COUNTIF(J6:J11,"NG"),"件　／　未実施 ",COUNTIF(J6:J11,"未実施"),"件　／　合計 ",COUNTA(B6:B11),"件")</f>
        <v>OK 6件　／　NG 0件　／　未実施 0件　／　合計 6件</v>
      </c>
      <c r="D18" s="45"/>
      <c r="E18" s="45"/>
      <c r="F18" s="45"/>
      <c r="G18" s="45"/>
      <c r="H18" s="45"/>
      <c r="I18" s="45"/>
      <c r="J18" s="45"/>
      <c r="K18" s="45"/>
      <c r="L18" s="45"/>
      <c r="M18" s="46"/>
    </row>
  </sheetData>
  <mergeCells count="3">
    <mergeCell ref="A1:M1"/>
    <mergeCell ref="A2:M2"/>
    <mergeCell ref="C18:M18"/>
  </mergeCells>
  <phoneticPr fontId="12"/>
  <dataValidations count="1">
    <dataValidation type="list" allowBlank="1" sqref="J6:J17" xr:uid="{00000000-0002-0000-0000-000000000000}">
      <formula1>"OK,NG,未実施,保留"</formula1>
      <formula2>0</formula2>
    </dataValidation>
  </dataValidations>
  <pageMargins left="0.75" right="0.75" top="1" bottom="1" header="0.511811023622047" footer="0.511811023622047"/>
  <pageSetup scale="28"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9D4B-7F6F-40B9-859A-4F424F3D1599}">
  <sheetPr>
    <pageSetUpPr fitToPage="1"/>
  </sheetPr>
  <dimension ref="A1:M21"/>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9" customWidth="1"/>
    <col min="3" max="3" width="22" customWidth="1"/>
    <col min="4" max="4" width="24" customWidth="1"/>
    <col min="5" max="5" width="16" customWidth="1"/>
    <col min="6" max="6" width="26" customWidth="1"/>
    <col min="7" max="7" width="36.1796875" customWidth="1"/>
    <col min="8" max="8" width="47.7265625" customWidth="1"/>
    <col min="9" max="9" width="47.1796875" customWidth="1"/>
    <col min="10" max="10" width="7" customWidth="1"/>
    <col min="11" max="11" width="9" customWidth="1"/>
    <col min="12" max="12" width="12" customWidth="1"/>
    <col min="13" max="13" width="14" customWidth="1"/>
  </cols>
  <sheetData>
    <row r="1" spans="1:13" ht="24" customHeight="1">
      <c r="A1" s="49" t="s">
        <v>154</v>
      </c>
      <c r="B1" s="50"/>
      <c r="C1" s="50"/>
      <c r="D1" s="50"/>
      <c r="E1" s="50"/>
      <c r="F1" s="50"/>
      <c r="G1" s="50"/>
      <c r="H1" s="50"/>
      <c r="I1" s="50"/>
      <c r="J1" s="50"/>
      <c r="K1" s="50"/>
      <c r="L1" s="50"/>
      <c r="M1" s="50"/>
    </row>
    <row r="2" spans="1:13" ht="16">
      <c r="A2" s="48" t="s">
        <v>116</v>
      </c>
      <c r="B2" s="48"/>
      <c r="C2" s="48"/>
      <c r="D2" s="48"/>
      <c r="E2" s="48"/>
      <c r="F2" s="48"/>
      <c r="G2" s="48"/>
      <c r="H2" s="48"/>
      <c r="I2" s="48"/>
      <c r="J2" s="48"/>
      <c r="K2" s="48"/>
      <c r="L2" s="48"/>
      <c r="M2" s="48"/>
    </row>
    <row r="3" spans="1:13">
      <c r="A3" s="17" t="s">
        <v>2</v>
      </c>
      <c r="B3" s="52" t="s">
        <v>571</v>
      </c>
      <c r="C3" s="17" t="s">
        <v>3</v>
      </c>
      <c r="D3" s="2" t="s">
        <v>155</v>
      </c>
      <c r="E3" s="17" t="s">
        <v>4</v>
      </c>
      <c r="F3" s="27">
        <v>46218</v>
      </c>
    </row>
    <row r="5" spans="1:13" ht="31.5" customHeight="1">
      <c r="A5" s="22" t="s">
        <v>5</v>
      </c>
      <c r="B5" s="23" t="s">
        <v>6</v>
      </c>
      <c r="C5" s="23" t="s">
        <v>7</v>
      </c>
      <c r="D5" s="23" t="s">
        <v>8</v>
      </c>
      <c r="E5" s="23" t="s">
        <v>9</v>
      </c>
      <c r="F5" s="23" t="s">
        <v>10</v>
      </c>
      <c r="G5" s="23" t="s">
        <v>11</v>
      </c>
      <c r="H5" s="23" t="s">
        <v>12</v>
      </c>
      <c r="I5" s="18" t="s">
        <v>13</v>
      </c>
      <c r="J5" s="18" t="s">
        <v>14</v>
      </c>
      <c r="K5" s="18" t="s">
        <v>15</v>
      </c>
      <c r="L5" s="18" t="s">
        <v>16</v>
      </c>
      <c r="M5" s="18" t="s">
        <v>17</v>
      </c>
    </row>
    <row r="6" spans="1:13" ht="68.25" customHeight="1">
      <c r="A6" s="26">
        <v>1</v>
      </c>
      <c r="B6" s="26" t="s">
        <v>237</v>
      </c>
      <c r="C6" s="26" t="s">
        <v>238</v>
      </c>
      <c r="D6" s="26" t="s">
        <v>239</v>
      </c>
      <c r="E6" s="26" t="s">
        <v>240</v>
      </c>
      <c r="F6" s="26" t="s">
        <v>241</v>
      </c>
      <c r="G6" s="26" t="s">
        <v>242</v>
      </c>
      <c r="H6" s="26" t="s">
        <v>243</v>
      </c>
      <c r="I6" s="26" t="s">
        <v>243</v>
      </c>
      <c r="J6" s="5" t="s">
        <v>21</v>
      </c>
      <c r="K6" s="6" t="s">
        <v>155</v>
      </c>
      <c r="L6" s="8">
        <v>46220</v>
      </c>
      <c r="M6" s="6"/>
    </row>
    <row r="7" spans="1:13" ht="68.25" customHeight="1">
      <c r="A7" s="26">
        <v>2</v>
      </c>
      <c r="B7" s="26" t="s">
        <v>244</v>
      </c>
      <c r="C7" s="26" t="s">
        <v>238</v>
      </c>
      <c r="D7" s="26" t="s">
        <v>245</v>
      </c>
      <c r="E7" s="26" t="s">
        <v>165</v>
      </c>
      <c r="F7" s="26" t="s">
        <v>246</v>
      </c>
      <c r="G7" s="26" t="s">
        <v>247</v>
      </c>
      <c r="H7" s="26" t="s">
        <v>248</v>
      </c>
      <c r="I7" s="26" t="s">
        <v>248</v>
      </c>
      <c r="J7" s="5" t="s">
        <v>21</v>
      </c>
      <c r="K7" s="6" t="s">
        <v>155</v>
      </c>
      <c r="L7" s="8">
        <v>46220</v>
      </c>
      <c r="M7" s="6"/>
    </row>
    <row r="8" spans="1:13" ht="68.25" customHeight="1">
      <c r="A8" s="26">
        <v>3</v>
      </c>
      <c r="B8" s="26" t="s">
        <v>249</v>
      </c>
      <c r="C8" s="26" t="s">
        <v>238</v>
      </c>
      <c r="D8" s="26" t="s">
        <v>250</v>
      </c>
      <c r="E8" s="26" t="s">
        <v>165</v>
      </c>
      <c r="F8" s="26" t="s">
        <v>251</v>
      </c>
      <c r="G8" s="26" t="s">
        <v>252</v>
      </c>
      <c r="H8" s="26" t="s">
        <v>253</v>
      </c>
      <c r="I8" s="26" t="s">
        <v>253</v>
      </c>
      <c r="J8" s="5" t="s">
        <v>21</v>
      </c>
      <c r="K8" s="6" t="s">
        <v>155</v>
      </c>
      <c r="L8" s="8">
        <v>46220</v>
      </c>
      <c r="M8" s="6"/>
    </row>
    <row r="9" spans="1:13" ht="68.25" customHeight="1">
      <c r="A9" s="26">
        <v>4</v>
      </c>
      <c r="B9" s="26" t="s">
        <v>254</v>
      </c>
      <c r="C9" s="26" t="s">
        <v>238</v>
      </c>
      <c r="D9" s="26" t="s">
        <v>255</v>
      </c>
      <c r="E9" s="26" t="s">
        <v>165</v>
      </c>
      <c r="F9" s="26" t="s">
        <v>256</v>
      </c>
      <c r="G9" s="26" t="s">
        <v>257</v>
      </c>
      <c r="H9" s="26" t="s">
        <v>258</v>
      </c>
      <c r="I9" s="26" t="s">
        <v>258</v>
      </c>
      <c r="J9" s="5" t="s">
        <v>21</v>
      </c>
      <c r="K9" s="6" t="s">
        <v>155</v>
      </c>
      <c r="L9" s="8">
        <v>46220</v>
      </c>
      <c r="M9" s="6"/>
    </row>
    <row r="10" spans="1:13" ht="68.25" customHeight="1">
      <c r="A10" s="26">
        <v>5</v>
      </c>
      <c r="B10" s="26" t="s">
        <v>259</v>
      </c>
      <c r="C10" s="26" t="s">
        <v>238</v>
      </c>
      <c r="D10" s="26" t="s">
        <v>260</v>
      </c>
      <c r="E10" s="26" t="s">
        <v>261</v>
      </c>
      <c r="F10" s="26" t="s">
        <v>262</v>
      </c>
      <c r="G10" s="26" t="s">
        <v>263</v>
      </c>
      <c r="H10" s="26" t="s">
        <v>264</v>
      </c>
      <c r="I10" s="26" t="s">
        <v>264</v>
      </c>
      <c r="J10" s="5" t="s">
        <v>21</v>
      </c>
      <c r="K10" s="6" t="s">
        <v>155</v>
      </c>
      <c r="L10" s="8">
        <v>46220</v>
      </c>
      <c r="M10" s="6"/>
    </row>
    <row r="11" spans="1:13" ht="68.25" customHeight="1">
      <c r="A11" s="26">
        <v>6</v>
      </c>
      <c r="B11" s="26" t="s">
        <v>265</v>
      </c>
      <c r="C11" s="26" t="s">
        <v>238</v>
      </c>
      <c r="D11" s="26" t="s">
        <v>266</v>
      </c>
      <c r="E11" s="26" t="s">
        <v>267</v>
      </c>
      <c r="F11" s="26" t="s">
        <v>268</v>
      </c>
      <c r="G11" s="26" t="s">
        <v>269</v>
      </c>
      <c r="H11" s="26" t="s">
        <v>270</v>
      </c>
      <c r="I11" s="26" t="s">
        <v>270</v>
      </c>
      <c r="J11" s="5" t="s">
        <v>21</v>
      </c>
      <c r="K11" s="6" t="s">
        <v>155</v>
      </c>
      <c r="L11" s="8">
        <v>46220</v>
      </c>
      <c r="M11" s="6"/>
    </row>
    <row r="12" spans="1:13" ht="68.25" customHeight="1">
      <c r="A12" s="26">
        <v>7</v>
      </c>
      <c r="B12" s="26" t="s">
        <v>271</v>
      </c>
      <c r="C12" s="26" t="s">
        <v>238</v>
      </c>
      <c r="D12" s="26" t="s">
        <v>272</v>
      </c>
      <c r="E12" s="26" t="s">
        <v>190</v>
      </c>
      <c r="F12" s="26" t="s">
        <v>273</v>
      </c>
      <c r="G12" s="26" t="s">
        <v>274</v>
      </c>
      <c r="H12" s="26" t="s">
        <v>193</v>
      </c>
      <c r="I12" s="26" t="s">
        <v>193</v>
      </c>
      <c r="J12" s="5" t="s">
        <v>21</v>
      </c>
      <c r="K12" s="6" t="s">
        <v>155</v>
      </c>
      <c r="L12" s="8">
        <v>46220</v>
      </c>
      <c r="M12" s="6"/>
    </row>
    <row r="13" spans="1:13" ht="68.25" customHeight="1">
      <c r="A13" s="26">
        <v>8</v>
      </c>
      <c r="B13" s="26" t="s">
        <v>275</v>
      </c>
      <c r="C13" s="26" t="s">
        <v>238</v>
      </c>
      <c r="D13" s="26" t="s">
        <v>276</v>
      </c>
      <c r="E13" s="26" t="s">
        <v>165</v>
      </c>
      <c r="F13" s="26" t="s">
        <v>277</v>
      </c>
      <c r="G13" s="26" t="s">
        <v>278</v>
      </c>
      <c r="H13" s="26" t="s">
        <v>279</v>
      </c>
      <c r="I13" s="26" t="s">
        <v>279</v>
      </c>
      <c r="J13" s="5" t="s">
        <v>21</v>
      </c>
      <c r="K13" s="6" t="s">
        <v>155</v>
      </c>
      <c r="L13" s="8">
        <v>46220</v>
      </c>
      <c r="M13" s="6"/>
    </row>
    <row r="14" spans="1:13" ht="68.25" customHeight="1">
      <c r="A14" s="26">
        <v>9</v>
      </c>
      <c r="B14" s="26" t="s">
        <v>280</v>
      </c>
      <c r="C14" s="26" t="s">
        <v>238</v>
      </c>
      <c r="D14" s="26" t="s">
        <v>281</v>
      </c>
      <c r="E14" s="26" t="s">
        <v>165</v>
      </c>
      <c r="F14" s="26" t="s">
        <v>282</v>
      </c>
      <c r="G14" s="26" t="s">
        <v>283</v>
      </c>
      <c r="H14" s="26" t="s">
        <v>284</v>
      </c>
      <c r="I14" s="26" t="s">
        <v>284</v>
      </c>
      <c r="J14" s="5" t="s">
        <v>21</v>
      </c>
      <c r="K14" s="6" t="s">
        <v>155</v>
      </c>
      <c r="L14" s="8">
        <v>46220</v>
      </c>
      <c r="M14" s="6"/>
    </row>
    <row r="15" spans="1:13" ht="68.25" customHeight="1">
      <c r="A15" s="26">
        <v>10</v>
      </c>
      <c r="B15" s="26" t="s">
        <v>285</v>
      </c>
      <c r="C15" s="26" t="s">
        <v>238</v>
      </c>
      <c r="D15" s="26" t="s">
        <v>286</v>
      </c>
      <c r="E15" s="26" t="s">
        <v>165</v>
      </c>
      <c r="F15" s="26" t="s">
        <v>287</v>
      </c>
      <c r="G15" s="26" t="s">
        <v>288</v>
      </c>
      <c r="H15" s="26" t="s">
        <v>289</v>
      </c>
      <c r="I15" s="26" t="s">
        <v>289</v>
      </c>
      <c r="J15" s="5" t="s">
        <v>21</v>
      </c>
      <c r="K15" s="6" t="s">
        <v>155</v>
      </c>
      <c r="L15" s="8">
        <v>46220</v>
      </c>
      <c r="M15" s="6"/>
    </row>
    <row r="16" spans="1:13" ht="68.25" customHeight="1">
      <c r="A16" s="26">
        <v>11</v>
      </c>
      <c r="B16" s="26" t="s">
        <v>290</v>
      </c>
      <c r="C16" s="26" t="s">
        <v>238</v>
      </c>
      <c r="D16" s="26" t="s">
        <v>291</v>
      </c>
      <c r="E16" s="26" t="s">
        <v>292</v>
      </c>
      <c r="F16" s="26" t="s">
        <v>293</v>
      </c>
      <c r="G16" s="26" t="s">
        <v>294</v>
      </c>
      <c r="H16" s="26" t="s">
        <v>295</v>
      </c>
      <c r="I16" s="26" t="s">
        <v>295</v>
      </c>
      <c r="J16" s="5" t="s">
        <v>21</v>
      </c>
      <c r="K16" s="6" t="s">
        <v>155</v>
      </c>
      <c r="L16" s="8">
        <v>46220</v>
      </c>
      <c r="M16" s="6"/>
    </row>
    <row r="17" spans="1:13" ht="68.25" customHeight="1">
      <c r="A17" s="26">
        <v>12</v>
      </c>
      <c r="B17" s="26" t="s">
        <v>296</v>
      </c>
      <c r="C17" s="26" t="s">
        <v>238</v>
      </c>
      <c r="D17" s="26" t="s">
        <v>297</v>
      </c>
      <c r="E17" s="26" t="s">
        <v>165</v>
      </c>
      <c r="F17" s="26" t="s">
        <v>298</v>
      </c>
      <c r="G17" s="26" t="s">
        <v>299</v>
      </c>
      <c r="H17" s="26" t="s">
        <v>300</v>
      </c>
      <c r="I17" s="26" t="s">
        <v>300</v>
      </c>
      <c r="J17" s="5" t="s">
        <v>21</v>
      </c>
      <c r="K17" s="6" t="s">
        <v>155</v>
      </c>
      <c r="L17" s="8">
        <v>46220</v>
      </c>
      <c r="M17" s="6"/>
    </row>
    <row r="18" spans="1:13" ht="68.25" customHeight="1">
      <c r="A18" s="26">
        <v>13</v>
      </c>
      <c r="B18" s="26" t="s">
        <v>301</v>
      </c>
      <c r="C18" s="26" t="s">
        <v>238</v>
      </c>
      <c r="D18" s="26" t="s">
        <v>302</v>
      </c>
      <c r="E18" s="26" t="s">
        <v>205</v>
      </c>
      <c r="F18" s="26" t="s">
        <v>303</v>
      </c>
      <c r="G18" s="26" t="s">
        <v>304</v>
      </c>
      <c r="H18" s="26" t="s">
        <v>305</v>
      </c>
      <c r="I18" s="26" t="s">
        <v>305</v>
      </c>
      <c r="J18" s="5" t="s">
        <v>21</v>
      </c>
      <c r="K18" s="6" t="s">
        <v>155</v>
      </c>
      <c r="L18" s="8">
        <v>46220</v>
      </c>
      <c r="M18" s="6"/>
    </row>
    <row r="19" spans="1:13" ht="68.25" customHeight="1">
      <c r="A19" s="26">
        <v>14</v>
      </c>
      <c r="B19" s="26" t="s">
        <v>306</v>
      </c>
      <c r="C19" s="26" t="s">
        <v>238</v>
      </c>
      <c r="D19" s="26" t="s">
        <v>307</v>
      </c>
      <c r="E19" s="26" t="s">
        <v>165</v>
      </c>
      <c r="F19" s="26" t="s">
        <v>308</v>
      </c>
      <c r="G19" s="26" t="s">
        <v>309</v>
      </c>
      <c r="H19" s="26" t="s">
        <v>310</v>
      </c>
      <c r="I19" s="26" t="s">
        <v>310</v>
      </c>
      <c r="J19" s="5" t="s">
        <v>21</v>
      </c>
      <c r="K19" s="6" t="s">
        <v>155</v>
      </c>
      <c r="L19" s="8">
        <v>46220</v>
      </c>
      <c r="M19" s="6"/>
    </row>
    <row r="20" spans="1:13" ht="68.25" customHeight="1">
      <c r="A20" s="26">
        <v>15</v>
      </c>
      <c r="B20" s="26" t="s">
        <v>311</v>
      </c>
      <c r="C20" s="26" t="s">
        <v>238</v>
      </c>
      <c r="D20" s="26" t="s">
        <v>312</v>
      </c>
      <c r="E20" s="26" t="s">
        <v>165</v>
      </c>
      <c r="F20" s="26" t="s">
        <v>313</v>
      </c>
      <c r="G20" s="26" t="s">
        <v>314</v>
      </c>
      <c r="H20" s="26" t="s">
        <v>315</v>
      </c>
      <c r="I20" s="26" t="s">
        <v>315</v>
      </c>
      <c r="J20" s="5" t="s">
        <v>21</v>
      </c>
      <c r="K20" s="6" t="s">
        <v>155</v>
      </c>
      <c r="L20" s="8">
        <v>46220</v>
      </c>
      <c r="M20" s="6"/>
    </row>
    <row r="21" spans="1:13" ht="21.75" customHeight="1">
      <c r="A21" s="10"/>
      <c r="B21" s="19" t="s">
        <v>23</v>
      </c>
      <c r="C21" s="47" t="str">
        <f>CONCATENATE("OK ",COUNTIF(J6:J20,"OK"),"件　／　NG ",COUNTIF(J6:J20,"NG"),"件　／　未実施 ",COUNTIF(J6:J20,"未実施"),"件　／　合計 ",COUNTA(B6:B20),"件")</f>
        <v>OK 15件　／　NG 0件　／　未実施 0件　／　合計 15件</v>
      </c>
      <c r="D21" s="47"/>
      <c r="E21" s="47"/>
      <c r="F21" s="47"/>
      <c r="G21" s="47"/>
      <c r="H21" s="47"/>
      <c r="I21" s="47"/>
      <c r="J21" s="47"/>
      <c r="K21" s="47"/>
      <c r="L21" s="47"/>
      <c r="M21" s="47"/>
    </row>
  </sheetData>
  <mergeCells count="3">
    <mergeCell ref="A1:M1"/>
    <mergeCell ref="A2:M2"/>
    <mergeCell ref="C21:M21"/>
  </mergeCells>
  <phoneticPr fontId="12"/>
  <dataValidations count="1">
    <dataValidation type="list" allowBlank="1" sqref="J6:J20" xr:uid="{27F66E39-8EB6-47E8-99BF-2B7CFCF15C7F}">
      <formula1>"OK,NG,未実施,保留"</formula1>
      <formula2>0</formula2>
    </dataValidation>
  </dataValidations>
  <pageMargins left="0.75" right="0.75" top="1" bottom="1" header="0.511811023622047" footer="0.511811023622047"/>
  <pageSetup scale="57" fitToHeight="0"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2"/>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15" customWidth="1"/>
    <col min="3" max="3" width="57" customWidth="1"/>
    <col min="4" max="4" width="31.81640625" customWidth="1"/>
    <col min="5" max="5" width="34.54296875" customWidth="1"/>
    <col min="6" max="6" width="33.36328125" customWidth="1"/>
    <col min="7" max="7" width="50.7265625" customWidth="1"/>
    <col min="8" max="8" width="63.26953125" customWidth="1"/>
    <col min="9" max="9" width="54.453125" customWidth="1"/>
    <col min="10" max="10" width="7" customWidth="1"/>
    <col min="11" max="11" width="9" customWidth="1"/>
    <col min="12" max="12" width="12" customWidth="1"/>
    <col min="13" max="13" width="14" customWidth="1"/>
  </cols>
  <sheetData>
    <row r="1" spans="1:13" ht="24" customHeight="1">
      <c r="A1" s="42" t="s">
        <v>115</v>
      </c>
      <c r="B1" s="42"/>
      <c r="C1" s="42"/>
      <c r="D1" s="42"/>
      <c r="E1" s="42"/>
      <c r="F1" s="42"/>
      <c r="G1" s="42"/>
      <c r="H1" s="42"/>
      <c r="I1" s="42"/>
      <c r="J1" s="42"/>
      <c r="K1" s="42"/>
      <c r="L1" s="42"/>
      <c r="M1" s="42"/>
    </row>
    <row r="2" spans="1:13" ht="16">
      <c r="A2" s="48" t="s">
        <v>116</v>
      </c>
      <c r="B2" s="48"/>
      <c r="C2" s="48"/>
      <c r="D2" s="48"/>
      <c r="E2" s="48"/>
      <c r="F2" s="48"/>
      <c r="G2" s="48"/>
      <c r="H2" s="48"/>
      <c r="I2" s="48"/>
      <c r="J2" s="48"/>
      <c r="K2" s="48"/>
      <c r="L2" s="48"/>
      <c r="M2" s="48"/>
    </row>
    <row r="3" spans="1:13">
      <c r="A3" s="1" t="s">
        <v>2</v>
      </c>
      <c r="B3" s="52" t="s">
        <v>571</v>
      </c>
      <c r="C3" s="1" t="s">
        <v>3</v>
      </c>
      <c r="D3" s="52" t="s">
        <v>563</v>
      </c>
      <c r="E3" s="1" t="s">
        <v>4</v>
      </c>
      <c r="F3" s="2"/>
    </row>
    <row r="5" spans="1:13" ht="31.5" customHeight="1">
      <c r="A5" s="3" t="s">
        <v>5</v>
      </c>
      <c r="B5" s="4" t="s">
        <v>6</v>
      </c>
      <c r="C5" s="4" t="s">
        <v>7</v>
      </c>
      <c r="D5" s="4" t="s">
        <v>8</v>
      </c>
      <c r="E5" s="4" t="s">
        <v>9</v>
      </c>
      <c r="F5" s="4" t="s">
        <v>10</v>
      </c>
      <c r="G5" s="4" t="s">
        <v>11</v>
      </c>
      <c r="H5" s="4" t="s">
        <v>12</v>
      </c>
      <c r="I5" s="4" t="s">
        <v>13</v>
      </c>
      <c r="J5" s="4" t="s">
        <v>14</v>
      </c>
      <c r="K5" s="4" t="s">
        <v>15</v>
      </c>
      <c r="L5" s="4" t="s">
        <v>16</v>
      </c>
      <c r="M5" s="4" t="s">
        <v>17</v>
      </c>
    </row>
    <row r="6" spans="1:13" ht="40.5" customHeight="1">
      <c r="A6" s="5">
        <v>1</v>
      </c>
      <c r="B6" s="12" t="s">
        <v>117</v>
      </c>
      <c r="C6" s="12" t="s">
        <v>118</v>
      </c>
      <c r="D6" s="13" t="s">
        <v>119</v>
      </c>
      <c r="E6" s="13" t="s">
        <v>120</v>
      </c>
      <c r="F6" s="13" t="s">
        <v>121</v>
      </c>
      <c r="G6" s="13" t="s">
        <v>122</v>
      </c>
      <c r="H6" s="13" t="s">
        <v>123</v>
      </c>
      <c r="I6" s="6" t="s">
        <v>123</v>
      </c>
      <c r="J6" s="5" t="s">
        <v>21</v>
      </c>
      <c r="K6" s="6" t="s">
        <v>47</v>
      </c>
      <c r="L6" s="8">
        <v>46218</v>
      </c>
      <c r="M6" s="6"/>
    </row>
    <row r="7" spans="1:13" ht="40.5" customHeight="1">
      <c r="A7" s="5">
        <v>2</v>
      </c>
      <c r="B7" s="12" t="s">
        <v>124</v>
      </c>
      <c r="C7" s="14" t="s">
        <v>125</v>
      </c>
      <c r="D7" s="15" t="s">
        <v>126</v>
      </c>
      <c r="E7" s="15" t="s">
        <v>127</v>
      </c>
      <c r="F7" s="15" t="s">
        <v>128</v>
      </c>
      <c r="G7" s="15" t="s">
        <v>129</v>
      </c>
      <c r="H7" s="15" t="s">
        <v>130</v>
      </c>
      <c r="I7" s="15" t="s">
        <v>130</v>
      </c>
      <c r="J7" s="5" t="s">
        <v>21</v>
      </c>
      <c r="K7" s="6" t="s">
        <v>47</v>
      </c>
      <c r="L7" s="8">
        <v>46218</v>
      </c>
      <c r="M7" s="6"/>
    </row>
    <row r="8" spans="1:13" ht="40.5" customHeight="1">
      <c r="A8" s="5">
        <v>3</v>
      </c>
      <c r="B8" s="12" t="s">
        <v>131</v>
      </c>
      <c r="C8" s="14" t="s">
        <v>125</v>
      </c>
      <c r="D8" s="15" t="s">
        <v>132</v>
      </c>
      <c r="E8" s="15" t="s">
        <v>133</v>
      </c>
      <c r="F8" s="15" t="s">
        <v>134</v>
      </c>
      <c r="G8" s="15" t="s">
        <v>135</v>
      </c>
      <c r="H8" s="15" t="s">
        <v>130</v>
      </c>
      <c r="I8" s="15" t="s">
        <v>130</v>
      </c>
      <c r="J8" s="5" t="s">
        <v>21</v>
      </c>
      <c r="K8" s="6" t="s">
        <v>47</v>
      </c>
      <c r="L8" s="8">
        <v>46218</v>
      </c>
      <c r="M8" s="6"/>
    </row>
    <row r="9" spans="1:13" ht="40.5" customHeight="1">
      <c r="A9" s="5">
        <v>4</v>
      </c>
      <c r="B9" s="12" t="s">
        <v>136</v>
      </c>
      <c r="C9" s="14" t="s">
        <v>137</v>
      </c>
      <c r="D9" s="15" t="s">
        <v>138</v>
      </c>
      <c r="E9" s="15" t="s">
        <v>139</v>
      </c>
      <c r="F9" s="15" t="s">
        <v>140</v>
      </c>
      <c r="G9" s="15" t="s">
        <v>141</v>
      </c>
      <c r="H9" s="15" t="s">
        <v>142</v>
      </c>
      <c r="I9" s="15" t="s">
        <v>142</v>
      </c>
      <c r="J9" s="5" t="s">
        <v>21</v>
      </c>
      <c r="K9" s="6" t="s">
        <v>47</v>
      </c>
      <c r="L9" s="8">
        <v>46218</v>
      </c>
      <c r="M9" s="6"/>
    </row>
    <row r="10" spans="1:13" ht="40.5" customHeight="1">
      <c r="A10" s="5">
        <v>5</v>
      </c>
      <c r="B10" s="12" t="s">
        <v>143</v>
      </c>
      <c r="C10" s="14" t="s">
        <v>137</v>
      </c>
      <c r="D10" s="15" t="s">
        <v>144</v>
      </c>
      <c r="E10" s="15" t="s">
        <v>145</v>
      </c>
      <c r="F10" s="15" t="s">
        <v>146</v>
      </c>
      <c r="G10" s="15" t="s">
        <v>147</v>
      </c>
      <c r="H10" s="15" t="s">
        <v>148</v>
      </c>
      <c r="I10" s="15" t="s">
        <v>149</v>
      </c>
      <c r="J10" s="5" t="s">
        <v>21</v>
      </c>
      <c r="K10" s="6" t="s">
        <v>47</v>
      </c>
      <c r="L10" s="8">
        <v>46218</v>
      </c>
      <c r="M10" s="6"/>
    </row>
    <row r="11" spans="1:13" ht="40.5" customHeight="1">
      <c r="A11" s="5">
        <v>6</v>
      </c>
      <c r="B11" s="12" t="s">
        <v>150</v>
      </c>
      <c r="C11" s="14" t="s">
        <v>137</v>
      </c>
      <c r="D11" s="15" t="s">
        <v>151</v>
      </c>
      <c r="E11" s="15" t="s">
        <v>145</v>
      </c>
      <c r="F11" s="15" t="s">
        <v>152</v>
      </c>
      <c r="G11" s="15" t="s">
        <v>153</v>
      </c>
      <c r="H11" s="15" t="s">
        <v>148</v>
      </c>
      <c r="I11" s="15" t="s">
        <v>149</v>
      </c>
      <c r="J11" s="5" t="s">
        <v>21</v>
      </c>
      <c r="K11" s="6" t="s">
        <v>47</v>
      </c>
      <c r="L11" s="8">
        <v>46218</v>
      </c>
      <c r="M11" s="6"/>
    </row>
    <row r="12" spans="1:13" ht="21.75" customHeight="1">
      <c r="A12" s="10"/>
      <c r="B12" s="11" t="s">
        <v>23</v>
      </c>
      <c r="C12" s="47" t="str">
        <f>CONCATENATE("OK ",COUNTIF(J6:J11,"OK"),"件　／　NG ",COUNTIF(J6:J11,"NG"),"件　／　未実施 ",COUNTIF(J6:J11,"未実施"),"件　／　合計 ",COUNTA(B7:B11),"件")</f>
        <v>OK 6件　／　NG 0件　／　未実施 0件　／　合計 5件</v>
      </c>
      <c r="D12" s="47"/>
      <c r="E12" s="47"/>
      <c r="F12" s="47"/>
      <c r="G12" s="47"/>
      <c r="H12" s="47"/>
      <c r="I12" s="47"/>
      <c r="J12" s="47"/>
      <c r="K12" s="47"/>
      <c r="L12" s="47"/>
      <c r="M12" s="47"/>
    </row>
  </sheetData>
  <mergeCells count="3">
    <mergeCell ref="A1:M1"/>
    <mergeCell ref="A2:M2"/>
    <mergeCell ref="C12:M12"/>
  </mergeCells>
  <phoneticPr fontId="12"/>
  <dataValidations count="1">
    <dataValidation type="list" allowBlank="1" sqref="J6:J11" xr:uid="{00000000-0002-0000-0100-000000000000}">
      <formula1>"OK,NG,未実施,保留"</formula1>
      <formula2>0</formula2>
    </dataValidation>
  </dataValidations>
  <pageMargins left="0.75" right="0.75" top="1" bottom="1" header="0.511811023622047" footer="0.511811023622047"/>
  <pageSetup scale="31" fitToHeight="0"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6E0E-818F-437C-AB1F-847577875757}">
  <sheetPr>
    <pageSetUpPr fitToPage="1"/>
  </sheetPr>
  <dimension ref="A1:M39"/>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9.54296875" customWidth="1"/>
    <col min="2" max="2" width="9" customWidth="1"/>
    <col min="3" max="3" width="22" customWidth="1"/>
    <col min="4" max="4" width="24" customWidth="1"/>
    <col min="5" max="5" width="16" customWidth="1"/>
    <col min="6" max="6" width="26" customWidth="1"/>
    <col min="7" max="7" width="36.1796875" customWidth="1"/>
    <col min="8" max="8" width="47.7265625" customWidth="1"/>
    <col min="9" max="9" width="44.1796875" customWidth="1"/>
    <col min="10" max="10" width="7" customWidth="1"/>
    <col min="11" max="11" width="9" customWidth="1"/>
    <col min="12" max="12" width="12" customWidth="1"/>
    <col min="13" max="13" width="14" customWidth="1"/>
  </cols>
  <sheetData>
    <row r="1" spans="1:13" ht="24" customHeight="1">
      <c r="A1" s="49" t="s">
        <v>154</v>
      </c>
      <c r="B1" s="50"/>
      <c r="C1" s="50"/>
      <c r="D1" s="50"/>
      <c r="E1" s="50"/>
      <c r="F1" s="50"/>
      <c r="G1" s="50"/>
      <c r="H1" s="50"/>
      <c r="I1" s="50"/>
      <c r="J1" s="50"/>
      <c r="K1" s="50"/>
      <c r="L1" s="50"/>
      <c r="M1" s="50"/>
    </row>
    <row r="2" spans="1:13" ht="16">
      <c r="A2" s="48" t="s">
        <v>116</v>
      </c>
      <c r="B2" s="48"/>
      <c r="C2" s="48"/>
      <c r="D2" s="48"/>
      <c r="E2" s="48"/>
      <c r="F2" s="48"/>
      <c r="G2" s="48"/>
      <c r="H2" s="48"/>
      <c r="I2" s="48"/>
      <c r="J2" s="48"/>
      <c r="K2" s="48"/>
      <c r="L2" s="48"/>
      <c r="M2" s="48"/>
    </row>
    <row r="3" spans="1:13">
      <c r="A3" s="17" t="s">
        <v>2</v>
      </c>
      <c r="B3" s="2" t="s">
        <v>37</v>
      </c>
      <c r="C3" s="17" t="s">
        <v>3</v>
      </c>
      <c r="D3" s="2" t="s">
        <v>155</v>
      </c>
      <c r="E3" s="17" t="s">
        <v>4</v>
      </c>
      <c r="F3" s="27">
        <v>46218</v>
      </c>
    </row>
    <row r="5" spans="1:13" ht="31.5" customHeight="1">
      <c r="A5" s="22" t="s">
        <v>5</v>
      </c>
      <c r="B5" s="23" t="s">
        <v>6</v>
      </c>
      <c r="C5" s="23" t="s">
        <v>7</v>
      </c>
      <c r="D5" s="23" t="s">
        <v>8</v>
      </c>
      <c r="E5" s="23" t="s">
        <v>9</v>
      </c>
      <c r="F5" s="23" t="s">
        <v>10</v>
      </c>
      <c r="G5" s="23" t="s">
        <v>11</v>
      </c>
      <c r="H5" s="23" t="s">
        <v>12</v>
      </c>
      <c r="I5" s="18" t="s">
        <v>13</v>
      </c>
      <c r="J5" s="18" t="s">
        <v>14</v>
      </c>
      <c r="K5" s="23" t="s">
        <v>15</v>
      </c>
      <c r="L5" s="18" t="s">
        <v>16</v>
      </c>
      <c r="M5" s="18" t="s">
        <v>17</v>
      </c>
    </row>
    <row r="6" spans="1:13" ht="68.25" customHeight="1">
      <c r="A6" s="26">
        <v>1</v>
      </c>
      <c r="B6" s="26" t="s">
        <v>156</v>
      </c>
      <c r="C6" s="26" t="s">
        <v>157</v>
      </c>
      <c r="D6" s="26" t="s">
        <v>158</v>
      </c>
      <c r="E6" s="26" t="s">
        <v>159</v>
      </c>
      <c r="F6" s="26" t="s">
        <v>160</v>
      </c>
      <c r="G6" s="26" t="s">
        <v>161</v>
      </c>
      <c r="H6" s="26" t="s">
        <v>162</v>
      </c>
      <c r="I6" s="26" t="s">
        <v>162</v>
      </c>
      <c r="J6" s="29" t="s">
        <v>21</v>
      </c>
      <c r="K6" s="54" t="s">
        <v>155</v>
      </c>
      <c r="L6" s="53">
        <v>46220</v>
      </c>
      <c r="M6" s="6"/>
    </row>
    <row r="7" spans="1:13" ht="68.25" customHeight="1">
      <c r="A7" s="26">
        <v>2</v>
      </c>
      <c r="B7" s="26" t="s">
        <v>163</v>
      </c>
      <c r="C7" s="26" t="s">
        <v>157</v>
      </c>
      <c r="D7" s="26" t="s">
        <v>164</v>
      </c>
      <c r="E7" s="26" t="s">
        <v>165</v>
      </c>
      <c r="F7" s="26" t="s">
        <v>166</v>
      </c>
      <c r="G7" s="26" t="s">
        <v>161</v>
      </c>
      <c r="H7" s="26" t="s">
        <v>167</v>
      </c>
      <c r="I7" s="26" t="s">
        <v>167</v>
      </c>
      <c r="J7" s="29" t="s">
        <v>21</v>
      </c>
      <c r="K7" s="54" t="s">
        <v>155</v>
      </c>
      <c r="L7" s="53">
        <v>46220</v>
      </c>
      <c r="M7" s="6"/>
    </row>
    <row r="8" spans="1:13" ht="68.25" customHeight="1">
      <c r="A8" s="26">
        <v>3</v>
      </c>
      <c r="B8" s="26" t="s">
        <v>168</v>
      </c>
      <c r="C8" s="26" t="s">
        <v>157</v>
      </c>
      <c r="D8" s="26" t="s">
        <v>169</v>
      </c>
      <c r="E8" s="26" t="s">
        <v>165</v>
      </c>
      <c r="F8" s="26" t="s">
        <v>170</v>
      </c>
      <c r="G8" s="26" t="s">
        <v>161</v>
      </c>
      <c r="H8" s="26" t="s">
        <v>171</v>
      </c>
      <c r="I8" s="26" t="s">
        <v>171</v>
      </c>
      <c r="J8" s="29" t="s">
        <v>21</v>
      </c>
      <c r="K8" s="54" t="s">
        <v>155</v>
      </c>
      <c r="L8" s="53">
        <v>46220</v>
      </c>
      <c r="M8" s="6"/>
    </row>
    <row r="9" spans="1:13" ht="68.25" customHeight="1">
      <c r="A9" s="26">
        <v>4</v>
      </c>
      <c r="B9" s="26" t="s">
        <v>172</v>
      </c>
      <c r="C9" s="26" t="s">
        <v>157</v>
      </c>
      <c r="D9" s="26" t="s">
        <v>173</v>
      </c>
      <c r="E9" s="26" t="s">
        <v>174</v>
      </c>
      <c r="F9" s="26" t="s">
        <v>175</v>
      </c>
      <c r="G9" s="26" t="s">
        <v>161</v>
      </c>
      <c r="H9" s="26" t="s">
        <v>176</v>
      </c>
      <c r="I9" s="26" t="s">
        <v>176</v>
      </c>
      <c r="J9" s="29" t="s">
        <v>21</v>
      </c>
      <c r="K9" s="54" t="s">
        <v>155</v>
      </c>
      <c r="L9" s="53">
        <v>46220</v>
      </c>
      <c r="M9" s="6"/>
    </row>
    <row r="10" spans="1:13" ht="68.25" customHeight="1">
      <c r="A10" s="26">
        <v>5</v>
      </c>
      <c r="B10" s="26" t="s">
        <v>177</v>
      </c>
      <c r="C10" s="26" t="s">
        <v>157</v>
      </c>
      <c r="D10" s="26" t="s">
        <v>178</v>
      </c>
      <c r="E10" s="26" t="s">
        <v>179</v>
      </c>
      <c r="F10" s="26" t="s">
        <v>180</v>
      </c>
      <c r="G10" s="26" t="s">
        <v>161</v>
      </c>
      <c r="H10" s="26" t="s">
        <v>181</v>
      </c>
      <c r="I10" s="26" t="s">
        <v>181</v>
      </c>
      <c r="J10" s="29" t="s">
        <v>21</v>
      </c>
      <c r="K10" s="54" t="s">
        <v>155</v>
      </c>
      <c r="L10" s="53">
        <v>46220</v>
      </c>
      <c r="M10" s="6"/>
    </row>
    <row r="11" spans="1:13" ht="68.25" customHeight="1">
      <c r="A11" s="26">
        <v>6</v>
      </c>
      <c r="B11" s="26" t="s">
        <v>182</v>
      </c>
      <c r="C11" s="26" t="s">
        <v>157</v>
      </c>
      <c r="D11" s="26" t="s">
        <v>183</v>
      </c>
      <c r="E11" s="26" t="s">
        <v>184</v>
      </c>
      <c r="F11" s="26" t="s">
        <v>185</v>
      </c>
      <c r="G11" s="26" t="s">
        <v>186</v>
      </c>
      <c r="H11" s="26" t="s">
        <v>187</v>
      </c>
      <c r="I11" s="26" t="s">
        <v>187</v>
      </c>
      <c r="J11" s="29" t="s">
        <v>21</v>
      </c>
      <c r="K11" s="54" t="s">
        <v>155</v>
      </c>
      <c r="L11" s="53">
        <v>46220</v>
      </c>
      <c r="M11" s="6"/>
    </row>
    <row r="12" spans="1:13" ht="68.25" customHeight="1">
      <c r="A12" s="26">
        <v>7</v>
      </c>
      <c r="B12" s="26" t="s">
        <v>188</v>
      </c>
      <c r="C12" s="26" t="s">
        <v>157</v>
      </c>
      <c r="D12" s="26" t="s">
        <v>189</v>
      </c>
      <c r="E12" s="26" t="s">
        <v>190</v>
      </c>
      <c r="F12" s="26" t="s">
        <v>191</v>
      </c>
      <c r="G12" s="26" t="s">
        <v>192</v>
      </c>
      <c r="H12" s="26" t="s">
        <v>193</v>
      </c>
      <c r="I12" s="26" t="s">
        <v>193</v>
      </c>
      <c r="J12" s="29" t="s">
        <v>21</v>
      </c>
      <c r="K12" s="54" t="s">
        <v>155</v>
      </c>
      <c r="L12" s="53">
        <v>46220</v>
      </c>
      <c r="M12" s="6"/>
    </row>
    <row r="13" spans="1:13" ht="68.25" customHeight="1">
      <c r="A13" s="26">
        <v>8</v>
      </c>
      <c r="B13" s="26" t="s">
        <v>194</v>
      </c>
      <c r="C13" s="26" t="s">
        <v>157</v>
      </c>
      <c r="D13" s="26" t="s">
        <v>195</v>
      </c>
      <c r="E13" s="26" t="s">
        <v>190</v>
      </c>
      <c r="F13" s="26" t="s">
        <v>196</v>
      </c>
      <c r="G13" s="26" t="s">
        <v>197</v>
      </c>
      <c r="H13" s="26" t="s">
        <v>193</v>
      </c>
      <c r="I13" s="26" t="s">
        <v>193</v>
      </c>
      <c r="J13" s="29" t="s">
        <v>21</v>
      </c>
      <c r="K13" s="54" t="s">
        <v>155</v>
      </c>
      <c r="L13" s="53">
        <v>46220</v>
      </c>
      <c r="M13" s="6"/>
    </row>
    <row r="14" spans="1:13" ht="68.25" customHeight="1">
      <c r="A14" s="26">
        <v>9</v>
      </c>
      <c r="B14" s="26" t="s">
        <v>198</v>
      </c>
      <c r="C14" s="26" t="s">
        <v>157</v>
      </c>
      <c r="D14" s="26" t="s">
        <v>199</v>
      </c>
      <c r="E14" s="26" t="s">
        <v>190</v>
      </c>
      <c r="F14" s="26" t="s">
        <v>200</v>
      </c>
      <c r="G14" s="26" t="s">
        <v>201</v>
      </c>
      <c r="H14" s="26" t="s">
        <v>202</v>
      </c>
      <c r="I14" s="26" t="s">
        <v>202</v>
      </c>
      <c r="J14" s="29" t="s">
        <v>21</v>
      </c>
      <c r="K14" s="54" t="s">
        <v>155</v>
      </c>
      <c r="L14" s="53">
        <v>46220</v>
      </c>
      <c r="M14" s="6"/>
    </row>
    <row r="15" spans="1:13" ht="68.25" customHeight="1">
      <c r="A15" s="26">
        <v>10</v>
      </c>
      <c r="B15" s="26" t="s">
        <v>203</v>
      </c>
      <c r="C15" s="26" t="s">
        <v>157</v>
      </c>
      <c r="D15" s="26" t="s">
        <v>204</v>
      </c>
      <c r="E15" s="26" t="s">
        <v>205</v>
      </c>
      <c r="F15" s="26" t="s">
        <v>206</v>
      </c>
      <c r="G15" s="26" t="s">
        <v>207</v>
      </c>
      <c r="H15" s="26" t="s">
        <v>208</v>
      </c>
      <c r="I15" s="26" t="s">
        <v>208</v>
      </c>
      <c r="J15" s="29" t="s">
        <v>21</v>
      </c>
      <c r="K15" s="54" t="s">
        <v>155</v>
      </c>
      <c r="L15" s="53">
        <v>46220</v>
      </c>
      <c r="M15" s="6"/>
    </row>
    <row r="16" spans="1:13" ht="68.25" customHeight="1">
      <c r="A16" s="26">
        <v>11</v>
      </c>
      <c r="B16" s="26" t="s">
        <v>209</v>
      </c>
      <c r="C16" s="26" t="s">
        <v>157</v>
      </c>
      <c r="D16" s="26" t="s">
        <v>210</v>
      </c>
      <c r="E16" s="26" t="s">
        <v>211</v>
      </c>
      <c r="F16" s="26" t="s">
        <v>212</v>
      </c>
      <c r="G16" s="26" t="s">
        <v>213</v>
      </c>
      <c r="H16" s="26" t="s">
        <v>214</v>
      </c>
      <c r="I16" s="26" t="s">
        <v>214</v>
      </c>
      <c r="J16" s="29" t="s">
        <v>21</v>
      </c>
      <c r="K16" s="54" t="s">
        <v>155</v>
      </c>
      <c r="L16" s="53">
        <v>46220</v>
      </c>
      <c r="M16" s="6"/>
    </row>
    <row r="17" spans="1:13" ht="68.25" customHeight="1">
      <c r="A17" s="26">
        <v>12</v>
      </c>
      <c r="B17" s="26" t="s">
        <v>215</v>
      </c>
      <c r="C17" s="26" t="s">
        <v>157</v>
      </c>
      <c r="D17" s="26" t="s">
        <v>216</v>
      </c>
      <c r="E17" s="26" t="s">
        <v>217</v>
      </c>
      <c r="F17" s="26" t="s">
        <v>218</v>
      </c>
      <c r="G17" s="26" t="s">
        <v>219</v>
      </c>
      <c r="H17" s="26" t="s">
        <v>220</v>
      </c>
      <c r="I17" s="26" t="s">
        <v>220</v>
      </c>
      <c r="J17" s="29" t="s">
        <v>21</v>
      </c>
      <c r="K17" s="54" t="s">
        <v>155</v>
      </c>
      <c r="L17" s="53">
        <v>46220</v>
      </c>
      <c r="M17" s="6"/>
    </row>
    <row r="18" spans="1:13" ht="68.25" customHeight="1">
      <c r="A18" s="26">
        <v>13</v>
      </c>
      <c r="B18" s="26" t="s">
        <v>221</v>
      </c>
      <c r="C18" s="26" t="s">
        <v>157</v>
      </c>
      <c r="D18" s="26" t="s">
        <v>222</v>
      </c>
      <c r="E18" s="26" t="s">
        <v>165</v>
      </c>
      <c r="F18" s="26" t="s">
        <v>223</v>
      </c>
      <c r="G18" s="26" t="s">
        <v>224</v>
      </c>
      <c r="H18" s="26" t="s">
        <v>225</v>
      </c>
      <c r="I18" s="26" t="s">
        <v>225</v>
      </c>
      <c r="J18" s="29" t="s">
        <v>21</v>
      </c>
      <c r="K18" s="54" t="s">
        <v>155</v>
      </c>
      <c r="L18" s="53">
        <v>46220</v>
      </c>
      <c r="M18" s="6"/>
    </row>
    <row r="19" spans="1:13" ht="68.25" customHeight="1">
      <c r="A19" s="26">
        <v>14</v>
      </c>
      <c r="B19" s="26" t="s">
        <v>226</v>
      </c>
      <c r="C19" s="26" t="s">
        <v>227</v>
      </c>
      <c r="D19" s="26" t="s">
        <v>228</v>
      </c>
      <c r="E19" s="26" t="s">
        <v>165</v>
      </c>
      <c r="F19" s="26" t="s">
        <v>229</v>
      </c>
      <c r="G19" s="26" t="s">
        <v>230</v>
      </c>
      <c r="H19" s="26" t="s">
        <v>231</v>
      </c>
      <c r="I19" s="26" t="s">
        <v>231</v>
      </c>
      <c r="J19" s="29" t="s">
        <v>21</v>
      </c>
      <c r="K19" s="54" t="s">
        <v>155</v>
      </c>
      <c r="L19" s="53">
        <v>46220</v>
      </c>
      <c r="M19" s="6"/>
    </row>
    <row r="20" spans="1:13" ht="68.25" customHeight="1">
      <c r="A20" s="26">
        <v>15</v>
      </c>
      <c r="B20" s="26" t="s">
        <v>232</v>
      </c>
      <c r="C20" s="26" t="s">
        <v>157</v>
      </c>
      <c r="D20" s="26" t="s">
        <v>233</v>
      </c>
      <c r="E20" s="26" t="s">
        <v>165</v>
      </c>
      <c r="F20" s="26" t="s">
        <v>234</v>
      </c>
      <c r="G20" s="26" t="s">
        <v>235</v>
      </c>
      <c r="H20" s="26" t="s">
        <v>236</v>
      </c>
      <c r="I20" s="26" t="s">
        <v>236</v>
      </c>
      <c r="J20" s="29" t="s">
        <v>21</v>
      </c>
      <c r="K20" s="54" t="s">
        <v>155</v>
      </c>
      <c r="L20" s="53">
        <v>46220</v>
      </c>
      <c r="M20" s="6"/>
    </row>
    <row r="21" spans="1:13" ht="25.5" customHeight="1">
      <c r="A21" s="24">
        <v>13</v>
      </c>
      <c r="B21" s="25"/>
      <c r="C21" s="25"/>
      <c r="D21" s="25"/>
      <c r="E21" s="25"/>
      <c r="F21" s="25"/>
      <c r="G21" s="25"/>
      <c r="H21" s="25"/>
      <c r="I21" s="6"/>
      <c r="J21" s="5"/>
      <c r="K21" s="25"/>
      <c r="L21" s="8"/>
      <c r="M21" s="6"/>
    </row>
    <row r="22" spans="1:13" ht="25.5" customHeight="1">
      <c r="A22" s="5">
        <v>14</v>
      </c>
      <c r="B22" s="6"/>
      <c r="C22" s="6"/>
      <c r="D22" s="6"/>
      <c r="E22" s="6"/>
      <c r="F22" s="6"/>
      <c r="G22" s="6"/>
      <c r="H22" s="6"/>
      <c r="I22" s="6"/>
      <c r="J22" s="5"/>
      <c r="K22" s="6"/>
      <c r="L22" s="8"/>
      <c r="M22" s="6"/>
    </row>
    <row r="23" spans="1:13" ht="25.5" customHeight="1">
      <c r="A23" s="5">
        <v>15</v>
      </c>
      <c r="B23" s="6"/>
      <c r="C23" s="6"/>
      <c r="D23" s="6"/>
      <c r="E23" s="6"/>
      <c r="F23" s="6"/>
      <c r="G23" s="6"/>
      <c r="H23" s="6"/>
      <c r="I23" s="6"/>
      <c r="J23" s="5"/>
      <c r="K23" s="6"/>
      <c r="L23" s="8"/>
      <c r="M23" s="6"/>
    </row>
    <row r="24" spans="1:13" ht="25.5" customHeight="1">
      <c r="A24" s="5">
        <v>16</v>
      </c>
      <c r="B24" s="6"/>
      <c r="C24" s="6"/>
      <c r="D24" s="6"/>
      <c r="E24" s="6"/>
      <c r="F24" s="6"/>
      <c r="G24" s="6"/>
      <c r="H24" s="6"/>
      <c r="I24" s="6"/>
      <c r="J24" s="5"/>
      <c r="K24" s="6"/>
      <c r="L24" s="8"/>
      <c r="M24" s="6"/>
    </row>
    <row r="25" spans="1:13" ht="25.5" customHeight="1">
      <c r="A25" s="5">
        <v>17</v>
      </c>
      <c r="B25" s="6"/>
      <c r="C25" s="6"/>
      <c r="D25" s="6"/>
      <c r="E25" s="6"/>
      <c r="F25" s="6"/>
      <c r="G25" s="6"/>
      <c r="H25" s="6"/>
      <c r="I25" s="6"/>
      <c r="J25" s="5"/>
      <c r="K25" s="6"/>
      <c r="L25" s="8"/>
      <c r="M25" s="6"/>
    </row>
    <row r="26" spans="1:13" ht="25.5" customHeight="1">
      <c r="A26" s="5">
        <v>18</v>
      </c>
      <c r="B26" s="6"/>
      <c r="C26" s="6"/>
      <c r="D26" s="6"/>
      <c r="E26" s="6"/>
      <c r="F26" s="6"/>
      <c r="G26" s="6"/>
      <c r="H26" s="6"/>
      <c r="I26" s="6"/>
      <c r="J26" s="5"/>
      <c r="K26" s="6"/>
      <c r="L26" s="8"/>
      <c r="M26" s="6"/>
    </row>
    <row r="27" spans="1:13" ht="25.5" customHeight="1">
      <c r="A27" s="5">
        <v>19</v>
      </c>
      <c r="B27" s="6"/>
      <c r="C27" s="6"/>
      <c r="D27" s="6"/>
      <c r="E27" s="6"/>
      <c r="F27" s="6"/>
      <c r="G27" s="6"/>
      <c r="H27" s="6"/>
      <c r="I27" s="6"/>
      <c r="J27" s="5"/>
      <c r="K27" s="6"/>
      <c r="L27" s="8"/>
      <c r="M27" s="6"/>
    </row>
    <row r="28" spans="1:13" ht="25.5" customHeight="1">
      <c r="A28" s="5">
        <v>20</v>
      </c>
      <c r="B28" s="6"/>
      <c r="C28" s="6"/>
      <c r="D28" s="6"/>
      <c r="E28" s="6"/>
      <c r="F28" s="6"/>
      <c r="G28" s="6"/>
      <c r="H28" s="6"/>
      <c r="I28" s="6"/>
      <c r="J28" s="5"/>
      <c r="K28" s="6"/>
      <c r="L28" s="8"/>
      <c r="M28" s="6"/>
    </row>
    <row r="29" spans="1:13" ht="25.5" customHeight="1">
      <c r="A29" s="5">
        <v>21</v>
      </c>
      <c r="B29" s="6"/>
      <c r="C29" s="6"/>
      <c r="D29" s="6"/>
      <c r="E29" s="6"/>
      <c r="F29" s="6"/>
      <c r="G29" s="6"/>
      <c r="H29" s="6"/>
      <c r="I29" s="6"/>
      <c r="J29" s="5"/>
      <c r="K29" s="6"/>
      <c r="L29" s="8"/>
      <c r="M29" s="6"/>
    </row>
    <row r="30" spans="1:13" ht="25.5" customHeight="1">
      <c r="A30" s="5">
        <v>22</v>
      </c>
      <c r="B30" s="6"/>
      <c r="C30" s="6"/>
      <c r="D30" s="6"/>
      <c r="E30" s="6"/>
      <c r="F30" s="6"/>
      <c r="G30" s="6"/>
      <c r="H30" s="6"/>
      <c r="I30" s="6"/>
      <c r="J30" s="5"/>
      <c r="K30" s="6"/>
      <c r="L30" s="8"/>
      <c r="M30" s="6"/>
    </row>
    <row r="31" spans="1:13" ht="25.5" customHeight="1">
      <c r="A31" s="5">
        <v>23</v>
      </c>
      <c r="B31" s="6"/>
      <c r="C31" s="6"/>
      <c r="D31" s="6"/>
      <c r="E31" s="6"/>
      <c r="F31" s="6"/>
      <c r="G31" s="6"/>
      <c r="H31" s="6"/>
      <c r="I31" s="6"/>
      <c r="J31" s="5"/>
      <c r="K31" s="6"/>
      <c r="L31" s="8"/>
      <c r="M31" s="6"/>
    </row>
    <row r="32" spans="1:13" ht="25.5" customHeight="1">
      <c r="A32" s="5">
        <v>24</v>
      </c>
      <c r="B32" s="6"/>
      <c r="C32" s="6"/>
      <c r="D32" s="6"/>
      <c r="E32" s="6"/>
      <c r="F32" s="6"/>
      <c r="G32" s="6"/>
      <c r="H32" s="6"/>
      <c r="I32" s="6"/>
      <c r="J32" s="5"/>
      <c r="K32" s="6"/>
      <c r="L32" s="8"/>
      <c r="M32" s="6"/>
    </row>
    <row r="33" spans="1:13" ht="25.5" customHeight="1">
      <c r="A33" s="5">
        <v>25</v>
      </c>
      <c r="B33" s="6"/>
      <c r="C33" s="6"/>
      <c r="D33" s="6"/>
      <c r="E33" s="6"/>
      <c r="F33" s="6"/>
      <c r="G33" s="6"/>
      <c r="H33" s="6"/>
      <c r="I33" s="6"/>
      <c r="J33" s="5"/>
      <c r="K33" s="6"/>
      <c r="L33" s="8"/>
      <c r="M33" s="6"/>
    </row>
    <row r="34" spans="1:13" ht="25.5" customHeight="1">
      <c r="A34" s="5">
        <v>26</v>
      </c>
      <c r="B34" s="6"/>
      <c r="C34" s="6"/>
      <c r="D34" s="6"/>
      <c r="E34" s="6"/>
      <c r="F34" s="6"/>
      <c r="G34" s="6"/>
      <c r="H34" s="6"/>
      <c r="I34" s="6"/>
      <c r="J34" s="5"/>
      <c r="K34" s="6"/>
      <c r="L34" s="8"/>
      <c r="M34" s="6"/>
    </row>
    <row r="35" spans="1:13" ht="25.5" customHeight="1">
      <c r="A35" s="5">
        <v>27</v>
      </c>
      <c r="B35" s="6"/>
      <c r="C35" s="6"/>
      <c r="D35" s="6"/>
      <c r="E35" s="6"/>
      <c r="F35" s="6"/>
      <c r="G35" s="6"/>
      <c r="H35" s="6"/>
      <c r="I35" s="6"/>
      <c r="J35" s="5"/>
      <c r="K35" s="6"/>
      <c r="L35" s="8"/>
      <c r="M35" s="6"/>
    </row>
    <row r="36" spans="1:13" ht="25.5" customHeight="1">
      <c r="A36" s="5">
        <v>28</v>
      </c>
      <c r="B36" s="6"/>
      <c r="C36" s="6"/>
      <c r="D36" s="6"/>
      <c r="E36" s="6"/>
      <c r="F36" s="6"/>
      <c r="G36" s="6"/>
      <c r="H36" s="6"/>
      <c r="I36" s="6"/>
      <c r="J36" s="5"/>
      <c r="K36" s="6"/>
      <c r="L36" s="8"/>
      <c r="M36" s="6"/>
    </row>
    <row r="37" spans="1:13" ht="25.5" customHeight="1">
      <c r="A37" s="5">
        <v>29</v>
      </c>
      <c r="B37" s="6"/>
      <c r="C37" s="6"/>
      <c r="D37" s="6"/>
      <c r="E37" s="6"/>
      <c r="F37" s="6"/>
      <c r="G37" s="6"/>
      <c r="H37" s="6"/>
      <c r="I37" s="6"/>
      <c r="J37" s="5"/>
      <c r="K37" s="6"/>
      <c r="L37" s="8"/>
      <c r="M37" s="6"/>
    </row>
    <row r="38" spans="1:13" ht="25.5" customHeight="1">
      <c r="A38" s="5">
        <v>30</v>
      </c>
      <c r="B38" s="6"/>
      <c r="C38" s="6"/>
      <c r="D38" s="6"/>
      <c r="E38" s="6"/>
      <c r="F38" s="6"/>
      <c r="G38" s="6"/>
      <c r="H38" s="6"/>
      <c r="I38" s="6"/>
      <c r="J38" s="5"/>
      <c r="K38" s="6"/>
      <c r="L38" s="8"/>
      <c r="M38" s="6"/>
    </row>
    <row r="39" spans="1:13" ht="21.75" customHeight="1">
      <c r="A39" s="10"/>
      <c r="B39" s="19" t="s">
        <v>23</v>
      </c>
      <c r="C39" s="47" t="str">
        <f>CONCATENATE("OK ",COUNTIF(J6:J38,"OK"),"件　／　NG ",COUNTIF(J6:J38,"NG"),"件　／　未実施 ",COUNTIF(J6:J38,"未実施"),"件　／　合計 ",COUNTA(B6:B38),"件")</f>
        <v>OK 15件　／　NG 0件　／　未実施 0件　／　合計 15件</v>
      </c>
      <c r="D39" s="47"/>
      <c r="E39" s="47"/>
      <c r="F39" s="47"/>
      <c r="G39" s="47"/>
      <c r="H39" s="47"/>
      <c r="I39" s="47"/>
      <c r="J39" s="47"/>
      <c r="K39" s="47"/>
      <c r="L39" s="47"/>
      <c r="M39" s="47"/>
    </row>
  </sheetData>
  <mergeCells count="3">
    <mergeCell ref="A1:M1"/>
    <mergeCell ref="A2:M2"/>
    <mergeCell ref="C39:M39"/>
  </mergeCells>
  <phoneticPr fontId="12"/>
  <dataValidations count="1">
    <dataValidation type="list" allowBlank="1" sqref="J6:J38" xr:uid="{F1098F7A-9CD7-4CC4-8BAA-63F722654510}">
      <formula1>"OK,NG,未実施,保留"</formula1>
      <formula2>0</formula2>
    </dataValidation>
  </dataValidations>
  <pageMargins left="0.75" right="0.75" top="1" bottom="1" header="0.511811023622047" footer="0.511811023622047"/>
  <pageSetup scale="57"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7954-9BE6-48E7-9084-5BB2760BC32D}">
  <sheetPr>
    <pageSetUpPr fitToPage="1"/>
  </sheetPr>
  <dimension ref="A1:M12"/>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9" customWidth="1"/>
    <col min="3" max="3" width="32.54296875" customWidth="1"/>
    <col min="4" max="4" width="24" customWidth="1"/>
    <col min="5" max="5" width="16" customWidth="1"/>
    <col min="6" max="6" width="26" customWidth="1"/>
    <col min="7" max="7" width="22" customWidth="1"/>
    <col min="8" max="8" width="28" customWidth="1"/>
    <col min="9" max="9" width="76.26953125" customWidth="1"/>
    <col min="10" max="10" width="7" customWidth="1"/>
    <col min="11" max="11" width="9" customWidth="1"/>
    <col min="12" max="12" width="12" customWidth="1"/>
    <col min="13" max="13" width="14" customWidth="1"/>
  </cols>
  <sheetData>
    <row r="1" spans="1:13" ht="24" customHeight="1">
      <c r="A1" s="42" t="s">
        <v>0</v>
      </c>
      <c r="B1" s="42"/>
      <c r="C1" s="42"/>
      <c r="D1" s="42"/>
      <c r="E1" s="42"/>
      <c r="F1" s="42"/>
      <c r="G1" s="42"/>
      <c r="H1" s="42"/>
      <c r="I1" s="42"/>
      <c r="J1" s="42"/>
      <c r="K1" s="42"/>
      <c r="L1" s="42"/>
      <c r="M1" s="42"/>
    </row>
    <row r="2" spans="1:13">
      <c r="A2" s="43" t="s">
        <v>1</v>
      </c>
      <c r="B2" s="43"/>
      <c r="C2" s="43"/>
      <c r="D2" s="43"/>
      <c r="E2" s="43"/>
      <c r="F2" s="43"/>
      <c r="G2" s="43"/>
      <c r="H2" s="43"/>
      <c r="I2" s="43"/>
      <c r="J2" s="43"/>
      <c r="K2" s="43"/>
      <c r="L2" s="43"/>
      <c r="M2" s="43"/>
    </row>
    <row r="3" spans="1:13">
      <c r="A3" s="1" t="s">
        <v>2</v>
      </c>
      <c r="B3" s="52" t="s">
        <v>419</v>
      </c>
      <c r="C3" s="1" t="s">
        <v>3</v>
      </c>
      <c r="D3" s="52" t="s">
        <v>570</v>
      </c>
      <c r="E3" s="1" t="s">
        <v>4</v>
      </c>
      <c r="F3" s="2"/>
    </row>
    <row r="5" spans="1:13" ht="31.5" customHeight="1">
      <c r="A5" s="3" t="s">
        <v>5</v>
      </c>
      <c r="B5" s="4" t="s">
        <v>6</v>
      </c>
      <c r="C5" s="4" t="s">
        <v>7</v>
      </c>
      <c r="D5" s="4" t="s">
        <v>8</v>
      </c>
      <c r="E5" s="4" t="s">
        <v>9</v>
      </c>
      <c r="F5" s="4" t="s">
        <v>10</v>
      </c>
      <c r="G5" s="4" t="s">
        <v>11</v>
      </c>
      <c r="H5" s="4" t="s">
        <v>12</v>
      </c>
      <c r="I5" s="30" t="s">
        <v>13</v>
      </c>
      <c r="J5" s="4" t="s">
        <v>14</v>
      </c>
      <c r="K5" s="4" t="s">
        <v>15</v>
      </c>
      <c r="L5" s="4" t="s">
        <v>16</v>
      </c>
      <c r="M5" s="4" t="s">
        <v>17</v>
      </c>
    </row>
    <row r="6" spans="1:13" ht="240" customHeight="1">
      <c r="A6" s="5">
        <v>1</v>
      </c>
      <c r="B6" s="6" t="s">
        <v>18</v>
      </c>
      <c r="C6" s="40" t="s">
        <v>464</v>
      </c>
      <c r="D6" s="20" t="s">
        <v>465</v>
      </c>
      <c r="E6" s="7" t="s">
        <v>466</v>
      </c>
      <c r="F6" s="7" t="s">
        <v>467</v>
      </c>
      <c r="G6" s="6" t="s">
        <v>28</v>
      </c>
      <c r="H6" s="56" t="s">
        <v>468</v>
      </c>
      <c r="I6" s="58" t="s">
        <v>469</v>
      </c>
      <c r="J6" s="57" t="s">
        <v>21</v>
      </c>
      <c r="K6" s="7" t="s">
        <v>470</v>
      </c>
      <c r="L6" s="8">
        <v>46218</v>
      </c>
      <c r="M6" s="6"/>
    </row>
    <row r="7" spans="1:13" ht="44" customHeight="1">
      <c r="A7" s="5">
        <v>2</v>
      </c>
      <c r="B7" s="6" t="s">
        <v>22</v>
      </c>
      <c r="C7" s="40" t="s">
        <v>464</v>
      </c>
      <c r="D7" s="55" t="s">
        <v>567</v>
      </c>
      <c r="E7" s="7" t="s">
        <v>566</v>
      </c>
      <c r="F7" s="7" t="s">
        <v>467</v>
      </c>
      <c r="G7" s="6" t="s">
        <v>28</v>
      </c>
      <c r="H7" s="6" t="s">
        <v>564</v>
      </c>
      <c r="I7" s="21" t="s">
        <v>565</v>
      </c>
      <c r="J7" s="5" t="s">
        <v>21</v>
      </c>
      <c r="K7" s="7" t="s">
        <v>470</v>
      </c>
      <c r="L7" s="8">
        <v>46219</v>
      </c>
      <c r="M7" s="6"/>
    </row>
    <row r="8" spans="1:13" ht="30" customHeight="1">
      <c r="A8" s="5">
        <v>3</v>
      </c>
      <c r="B8" s="6"/>
      <c r="C8" s="40"/>
      <c r="D8" s="7"/>
      <c r="E8" s="7"/>
      <c r="F8" s="7"/>
      <c r="G8" s="6"/>
      <c r="H8" s="6"/>
      <c r="I8" s="6"/>
      <c r="J8" s="5"/>
      <c r="K8" s="7"/>
      <c r="L8" s="8"/>
      <c r="M8" s="6"/>
    </row>
    <row r="9" spans="1:13" ht="30" customHeight="1">
      <c r="A9" s="5">
        <v>4</v>
      </c>
      <c r="B9" s="6"/>
      <c r="C9" s="40"/>
      <c r="D9" s="7"/>
      <c r="E9" s="7"/>
      <c r="F9" s="7"/>
      <c r="G9" s="7"/>
      <c r="H9" s="7"/>
      <c r="I9" s="7"/>
      <c r="J9" s="5"/>
      <c r="K9" s="7"/>
      <c r="L9" s="8"/>
      <c r="M9" s="6"/>
    </row>
    <row r="10" spans="1:13" ht="30" customHeight="1">
      <c r="A10" s="5">
        <v>5</v>
      </c>
      <c r="B10" s="6"/>
      <c r="C10" s="40"/>
      <c r="D10" s="7"/>
      <c r="E10" s="7"/>
      <c r="F10" s="7"/>
      <c r="G10" s="6"/>
      <c r="H10" s="6"/>
      <c r="I10" s="6"/>
      <c r="J10" s="5"/>
      <c r="K10" s="7"/>
      <c r="L10" s="8"/>
      <c r="M10" s="6"/>
    </row>
    <row r="11" spans="1:13" ht="30" customHeight="1">
      <c r="A11" s="5">
        <v>6</v>
      </c>
      <c r="B11" s="6"/>
      <c r="C11" s="40"/>
      <c r="D11" s="7"/>
      <c r="E11" s="6"/>
      <c r="F11" s="7"/>
      <c r="G11" s="7"/>
      <c r="H11" s="7"/>
      <c r="I11" s="6"/>
      <c r="J11" s="9"/>
      <c r="K11" s="6"/>
      <c r="L11" s="8"/>
      <c r="M11" s="6"/>
    </row>
    <row r="12" spans="1:13" ht="21.75" customHeight="1">
      <c r="A12" s="10"/>
      <c r="B12" s="11" t="s">
        <v>23</v>
      </c>
      <c r="C12" s="44" t="str">
        <f>CONCATENATE("OK ",COUNTIF(J6:J11,"OK"),"件　／　NG ",COUNTIF(J6:J11,"NG"),"件　／　未実施 ",COUNTIF(J6:J11,"未実施"),"件　／　合計 ",COUNTA(B6:B11),"件")</f>
        <v>OK 2件　／　NG 0件　／　未実施 0件　／　合計 2件</v>
      </c>
      <c r="D12" s="45"/>
      <c r="E12" s="45"/>
      <c r="F12" s="45"/>
      <c r="G12" s="45"/>
      <c r="H12" s="45"/>
      <c r="I12" s="45"/>
      <c r="J12" s="45"/>
      <c r="K12" s="45"/>
      <c r="L12" s="45"/>
      <c r="M12" s="46"/>
    </row>
  </sheetData>
  <mergeCells count="3">
    <mergeCell ref="A1:M1"/>
    <mergeCell ref="A2:M2"/>
    <mergeCell ref="C12:M12"/>
  </mergeCells>
  <phoneticPr fontId="12"/>
  <dataValidations count="1">
    <dataValidation type="list" allowBlank="1" sqref="J6:J11" xr:uid="{7D3586DD-194E-4E86-BEBF-B6FA24863B17}">
      <formula1>"OK,NG,未実施,保留"</formula1>
      <formula2>0</formula2>
    </dataValidation>
  </dataValidation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8C523-F221-4723-A330-80D6678F1165}">
  <sheetPr>
    <pageSetUpPr fitToPage="1"/>
  </sheetPr>
  <dimension ref="A1:M31"/>
  <sheetViews>
    <sheetView showGridLines="0" zoomScaleNormal="100" workbookViewId="0">
      <pane ySplit="5" topLeftCell="A6" activePane="bottomLeft" state="frozen"/>
      <selection pane="bottomLeft" activeCell="A6" sqref="A6"/>
    </sheetView>
  </sheetViews>
  <sheetFormatPr defaultColWidth="8.54296875" defaultRowHeight="14.5"/>
  <cols>
    <col min="1" max="1" width="5" customWidth="1"/>
    <col min="2" max="2" width="9" customWidth="1"/>
    <col min="3" max="3" width="22" customWidth="1"/>
    <col min="4" max="4" width="36.54296875" customWidth="1"/>
    <col min="5" max="5" width="40.81640625" customWidth="1"/>
    <col min="6" max="6" width="26" customWidth="1"/>
    <col min="7" max="7" width="46.54296875" customWidth="1"/>
    <col min="8" max="8" width="35.453125" customWidth="1"/>
    <col min="9" max="9" width="18" customWidth="1"/>
    <col min="10" max="10" width="7" customWidth="1"/>
    <col min="11" max="11" width="9" customWidth="1"/>
    <col min="12" max="12" width="12" customWidth="1"/>
    <col min="13" max="13" width="14" customWidth="1"/>
  </cols>
  <sheetData>
    <row r="1" spans="1:13" ht="24" customHeight="1">
      <c r="A1" s="42" t="s">
        <v>0</v>
      </c>
      <c r="B1" s="42"/>
      <c r="C1" s="42"/>
      <c r="D1" s="42"/>
      <c r="E1" s="42"/>
      <c r="F1" s="42"/>
      <c r="G1" s="42"/>
      <c r="H1" s="42"/>
      <c r="I1" s="42"/>
      <c r="J1" s="42"/>
      <c r="K1" s="42"/>
      <c r="L1" s="42"/>
      <c r="M1" s="42"/>
    </row>
    <row r="2" spans="1:13">
      <c r="A2" s="43" t="s">
        <v>1</v>
      </c>
      <c r="B2" s="43"/>
      <c r="C2" s="43"/>
      <c r="D2" s="43"/>
      <c r="E2" s="43"/>
      <c r="F2" s="43"/>
      <c r="G2" s="43"/>
      <c r="H2" s="43"/>
      <c r="I2" s="43"/>
      <c r="J2" s="43"/>
      <c r="K2" s="43"/>
      <c r="L2" s="43"/>
      <c r="M2" s="43"/>
    </row>
    <row r="3" spans="1:13">
      <c r="A3" s="1" t="s">
        <v>2</v>
      </c>
      <c r="B3" s="52" t="s">
        <v>571</v>
      </c>
      <c r="C3" s="1" t="s">
        <v>3</v>
      </c>
      <c r="D3" s="52" t="s">
        <v>570</v>
      </c>
      <c r="E3" s="1" t="s">
        <v>4</v>
      </c>
      <c r="F3" s="2"/>
    </row>
    <row r="5" spans="1:13" ht="31.5" customHeight="1">
      <c r="A5" s="3" t="s">
        <v>5</v>
      </c>
      <c r="B5" s="4" t="s">
        <v>6</v>
      </c>
      <c r="C5" s="4" t="s">
        <v>7</v>
      </c>
      <c r="D5" s="4" t="s">
        <v>8</v>
      </c>
      <c r="E5" s="4" t="s">
        <v>9</v>
      </c>
      <c r="F5" s="4" t="s">
        <v>10</v>
      </c>
      <c r="G5" s="4" t="s">
        <v>11</v>
      </c>
      <c r="H5" s="4" t="s">
        <v>12</v>
      </c>
      <c r="I5" s="4" t="s">
        <v>13</v>
      </c>
      <c r="J5" s="4" t="s">
        <v>14</v>
      </c>
      <c r="K5" s="4" t="s">
        <v>15</v>
      </c>
      <c r="L5" s="4" t="s">
        <v>16</v>
      </c>
      <c r="M5" s="4" t="s">
        <v>17</v>
      </c>
    </row>
    <row r="6" spans="1:13" ht="54" customHeight="1">
      <c r="A6" s="5">
        <v>1</v>
      </c>
      <c r="B6" s="6" t="s">
        <v>471</v>
      </c>
      <c r="C6" s="40" t="s">
        <v>472</v>
      </c>
      <c r="D6" s="20" t="s">
        <v>473</v>
      </c>
      <c r="E6" s="7" t="s">
        <v>19</v>
      </c>
      <c r="F6" s="20" t="s">
        <v>474</v>
      </c>
      <c r="G6" s="6" t="s">
        <v>475</v>
      </c>
      <c r="H6" s="6" t="s">
        <v>476</v>
      </c>
      <c r="I6" s="6" t="s">
        <v>476</v>
      </c>
      <c r="J6" s="5" t="s">
        <v>21</v>
      </c>
      <c r="K6" s="7" t="s">
        <v>470</v>
      </c>
      <c r="L6" s="8">
        <v>46219</v>
      </c>
      <c r="M6" s="6"/>
    </row>
    <row r="7" spans="1:13" ht="54" customHeight="1">
      <c r="A7" s="5">
        <v>2</v>
      </c>
      <c r="B7" s="6" t="s">
        <v>477</v>
      </c>
      <c r="C7" s="40" t="s">
        <v>472</v>
      </c>
      <c r="D7" s="7" t="s">
        <v>478</v>
      </c>
      <c r="E7" s="7" t="s">
        <v>324</v>
      </c>
      <c r="F7" s="7" t="s">
        <v>479</v>
      </c>
      <c r="G7" s="6" t="s">
        <v>480</v>
      </c>
      <c r="H7" s="7" t="s">
        <v>481</v>
      </c>
      <c r="I7" s="7" t="s">
        <v>481</v>
      </c>
      <c r="J7" s="5" t="s">
        <v>21</v>
      </c>
      <c r="K7" s="7" t="s">
        <v>470</v>
      </c>
      <c r="L7" s="8">
        <v>46219</v>
      </c>
      <c r="M7" s="6"/>
    </row>
    <row r="8" spans="1:13" ht="54" customHeight="1">
      <c r="A8" s="5">
        <v>3</v>
      </c>
      <c r="B8" s="6" t="s">
        <v>482</v>
      </c>
      <c r="C8" s="40" t="s">
        <v>472</v>
      </c>
      <c r="D8" s="7" t="s">
        <v>483</v>
      </c>
      <c r="E8" s="7" t="s">
        <v>324</v>
      </c>
      <c r="F8" s="7" t="s">
        <v>484</v>
      </c>
      <c r="G8" s="6" t="s">
        <v>485</v>
      </c>
      <c r="H8" s="6" t="s">
        <v>481</v>
      </c>
      <c r="I8" s="6" t="s">
        <v>481</v>
      </c>
      <c r="J8" s="5" t="s">
        <v>21</v>
      </c>
      <c r="K8" s="7" t="s">
        <v>470</v>
      </c>
      <c r="L8" s="8">
        <v>46219</v>
      </c>
      <c r="M8" s="6"/>
    </row>
    <row r="9" spans="1:13" ht="54" customHeight="1">
      <c r="A9" s="5">
        <v>4</v>
      </c>
      <c r="B9" s="6" t="s">
        <v>486</v>
      </c>
      <c r="C9" s="40" t="s">
        <v>472</v>
      </c>
      <c r="D9" s="7" t="s">
        <v>487</v>
      </c>
      <c r="E9" s="7" t="s">
        <v>324</v>
      </c>
      <c r="F9" s="20" t="s">
        <v>488</v>
      </c>
      <c r="G9" s="6" t="s">
        <v>489</v>
      </c>
      <c r="H9" s="6" t="s">
        <v>476</v>
      </c>
      <c r="I9" s="6" t="s">
        <v>476</v>
      </c>
      <c r="J9" s="5" t="s">
        <v>21</v>
      </c>
      <c r="K9" s="7" t="s">
        <v>470</v>
      </c>
      <c r="L9" s="8">
        <v>46219</v>
      </c>
      <c r="M9" s="6"/>
    </row>
    <row r="10" spans="1:13" ht="54" customHeight="1">
      <c r="A10" s="5">
        <v>5</v>
      </c>
      <c r="B10" s="6" t="s">
        <v>490</v>
      </c>
      <c r="C10" s="40" t="s">
        <v>472</v>
      </c>
      <c r="D10" s="7" t="s">
        <v>491</v>
      </c>
      <c r="E10" s="7" t="s">
        <v>324</v>
      </c>
      <c r="F10" s="7" t="s">
        <v>488</v>
      </c>
      <c r="G10" s="6" t="s">
        <v>492</v>
      </c>
      <c r="H10" s="6" t="s">
        <v>476</v>
      </c>
      <c r="I10" s="6" t="s">
        <v>476</v>
      </c>
      <c r="J10" s="5" t="s">
        <v>21</v>
      </c>
      <c r="K10" s="7" t="s">
        <v>470</v>
      </c>
      <c r="L10" s="8">
        <v>46219</v>
      </c>
      <c r="M10" s="6"/>
    </row>
    <row r="11" spans="1:13" ht="54" customHeight="1">
      <c r="A11" s="5">
        <v>6</v>
      </c>
      <c r="B11" s="6" t="s">
        <v>493</v>
      </c>
      <c r="C11" s="40" t="s">
        <v>472</v>
      </c>
      <c r="D11" s="7" t="s">
        <v>494</v>
      </c>
      <c r="E11" s="6" t="s">
        <v>495</v>
      </c>
      <c r="F11" s="7" t="s">
        <v>496</v>
      </c>
      <c r="G11" s="6" t="s">
        <v>497</v>
      </c>
      <c r="H11" s="7" t="s">
        <v>498</v>
      </c>
      <c r="I11" s="7" t="s">
        <v>498</v>
      </c>
      <c r="J11" s="9" t="s">
        <v>21</v>
      </c>
      <c r="K11" s="7" t="s">
        <v>470</v>
      </c>
      <c r="L11" s="8">
        <v>46219</v>
      </c>
      <c r="M11" s="6"/>
    </row>
    <row r="12" spans="1:13" ht="54" customHeight="1">
      <c r="A12" s="5"/>
      <c r="B12" s="6"/>
      <c r="C12" s="40"/>
      <c r="D12" s="7"/>
      <c r="E12" s="7"/>
      <c r="F12" s="7"/>
      <c r="G12" s="6"/>
      <c r="H12" s="7"/>
      <c r="I12" s="7"/>
      <c r="J12" s="9"/>
      <c r="K12" s="6"/>
      <c r="L12" s="8"/>
      <c r="M12" s="6"/>
    </row>
    <row r="13" spans="1:13" ht="54" customHeight="1">
      <c r="A13" s="5"/>
      <c r="B13" s="6"/>
      <c r="C13" s="40"/>
      <c r="D13" s="7"/>
      <c r="E13" s="7"/>
      <c r="F13" s="7"/>
      <c r="G13" s="6"/>
      <c r="H13" s="7"/>
      <c r="I13" s="7"/>
      <c r="J13" s="9"/>
      <c r="K13" s="6"/>
      <c r="L13" s="8"/>
      <c r="M13" s="6"/>
    </row>
    <row r="14" spans="1:13" ht="54" customHeight="1">
      <c r="A14" s="5"/>
      <c r="B14" s="6"/>
      <c r="C14" s="40"/>
      <c r="D14" s="7"/>
      <c r="E14" s="7"/>
      <c r="F14" s="7"/>
      <c r="G14" s="6"/>
      <c r="H14" s="7"/>
      <c r="I14" s="7"/>
      <c r="J14" s="9"/>
      <c r="K14" s="6"/>
      <c r="L14" s="8"/>
      <c r="M14" s="6"/>
    </row>
    <row r="15" spans="1:13" ht="54" customHeight="1">
      <c r="A15" s="5"/>
      <c r="B15" s="6"/>
      <c r="C15" s="40"/>
      <c r="D15" s="7"/>
      <c r="E15" s="7"/>
      <c r="F15" s="7"/>
      <c r="G15" s="6"/>
      <c r="H15" s="7"/>
      <c r="I15" s="7"/>
      <c r="J15" s="9"/>
      <c r="K15" s="6"/>
      <c r="L15" s="8"/>
      <c r="M15" s="6"/>
    </row>
    <row r="16" spans="1:13" ht="54" customHeight="1">
      <c r="A16" s="5"/>
      <c r="B16" s="6"/>
      <c r="C16" s="40"/>
      <c r="D16" s="7"/>
      <c r="E16" s="7"/>
      <c r="F16" s="7"/>
      <c r="G16" s="6"/>
      <c r="H16" s="7"/>
      <c r="I16" s="7"/>
      <c r="J16" s="9"/>
      <c r="K16" s="6"/>
      <c r="L16" s="8"/>
      <c r="M16" s="6"/>
    </row>
    <row r="17" spans="1:13" ht="54" customHeight="1">
      <c r="A17" s="5"/>
      <c r="B17" s="6"/>
      <c r="C17" s="40"/>
      <c r="D17" s="7"/>
      <c r="E17" s="7"/>
      <c r="F17" s="7"/>
      <c r="G17" s="6"/>
      <c r="H17" s="7"/>
      <c r="I17" s="7"/>
      <c r="J17" s="9"/>
      <c r="K17" s="6"/>
      <c r="L17" s="8"/>
      <c r="M17" s="6"/>
    </row>
    <row r="18" spans="1:13" ht="54" customHeight="1">
      <c r="A18" s="5"/>
      <c r="B18" s="6"/>
      <c r="C18" s="40"/>
      <c r="D18" s="7"/>
      <c r="E18" s="7"/>
      <c r="F18" s="20"/>
      <c r="G18" s="6"/>
      <c r="H18" s="6"/>
      <c r="I18" s="6"/>
      <c r="J18" s="9"/>
      <c r="K18" s="6"/>
      <c r="L18" s="8"/>
      <c r="M18" s="6"/>
    </row>
    <row r="19" spans="1:13" ht="54" customHeight="1">
      <c r="A19" s="5"/>
      <c r="B19" s="6"/>
      <c r="C19" s="40"/>
      <c r="D19" s="7"/>
      <c r="E19" s="7"/>
      <c r="F19" s="20"/>
      <c r="G19" s="6"/>
      <c r="H19" s="6"/>
      <c r="I19" s="6"/>
      <c r="J19" s="9"/>
      <c r="K19" s="6"/>
      <c r="L19" s="8"/>
      <c r="M19" s="6"/>
    </row>
    <row r="20" spans="1:13" ht="54" customHeight="1">
      <c r="A20" s="5"/>
      <c r="B20" s="6"/>
      <c r="C20" s="40"/>
      <c r="D20" s="7"/>
      <c r="E20" s="7"/>
      <c r="F20" s="7"/>
      <c r="G20" s="6"/>
      <c r="H20" s="7"/>
      <c r="I20" s="7"/>
      <c r="J20" s="9"/>
      <c r="K20" s="6"/>
      <c r="L20" s="8"/>
      <c r="M20" s="6"/>
    </row>
    <row r="21" spans="1:13" ht="54" customHeight="1">
      <c r="A21" s="5"/>
      <c r="B21" s="6"/>
      <c r="C21" s="40"/>
      <c r="D21" s="7"/>
      <c r="E21" s="7"/>
      <c r="F21" s="7"/>
      <c r="G21" s="6"/>
      <c r="H21" s="7"/>
      <c r="I21" s="7"/>
      <c r="J21" s="9"/>
      <c r="K21" s="6"/>
      <c r="L21" s="8"/>
      <c r="M21" s="6"/>
    </row>
    <row r="22" spans="1:13" ht="54" customHeight="1">
      <c r="A22" s="5"/>
      <c r="B22" s="6"/>
      <c r="C22" s="40"/>
      <c r="D22" s="7"/>
      <c r="E22" s="7"/>
      <c r="F22" s="7"/>
      <c r="G22" s="6"/>
      <c r="H22" s="7"/>
      <c r="I22" s="7"/>
      <c r="J22" s="9"/>
      <c r="K22" s="6"/>
      <c r="L22" s="8"/>
      <c r="M22" s="6"/>
    </row>
    <row r="23" spans="1:13" ht="54" customHeight="1">
      <c r="A23" s="5"/>
      <c r="B23" s="6"/>
      <c r="C23" s="40"/>
      <c r="D23" s="7"/>
      <c r="E23" s="7"/>
      <c r="F23" s="7"/>
      <c r="G23" s="6"/>
      <c r="H23" s="7"/>
      <c r="I23" s="7"/>
      <c r="J23" s="9"/>
      <c r="K23" s="6"/>
      <c r="L23" s="8"/>
      <c r="M23" s="6"/>
    </row>
    <row r="24" spans="1:13" ht="54" customHeight="1">
      <c r="A24" s="5"/>
      <c r="B24" s="6"/>
      <c r="C24" s="40"/>
      <c r="D24" s="7"/>
      <c r="E24" s="7"/>
      <c r="F24" s="7"/>
      <c r="G24" s="6"/>
      <c r="H24" s="7"/>
      <c r="I24" s="7"/>
      <c r="J24" s="9"/>
      <c r="K24" s="6"/>
      <c r="L24" s="8"/>
      <c r="M24" s="6"/>
    </row>
    <row r="25" spans="1:13" ht="54" customHeight="1">
      <c r="A25" s="5"/>
      <c r="B25" s="6"/>
      <c r="C25" s="40"/>
      <c r="D25" s="7"/>
      <c r="E25" s="6"/>
      <c r="F25" s="7"/>
      <c r="G25" s="6"/>
      <c r="H25" s="7"/>
      <c r="I25" s="7"/>
      <c r="J25" s="9"/>
      <c r="K25" s="6"/>
      <c r="L25" s="8"/>
      <c r="M25" s="6"/>
    </row>
    <row r="26" spans="1:13" ht="54" customHeight="1">
      <c r="A26" s="5"/>
      <c r="B26" s="6"/>
      <c r="C26" s="40"/>
      <c r="D26" s="7"/>
      <c r="E26" s="6"/>
      <c r="F26" s="7"/>
      <c r="G26" s="6"/>
      <c r="H26" s="7"/>
      <c r="I26" s="7"/>
      <c r="J26" s="9"/>
      <c r="K26" s="6"/>
      <c r="L26" s="8"/>
      <c r="M26" s="6"/>
    </row>
    <row r="27" spans="1:13" ht="54" customHeight="1">
      <c r="A27" s="5"/>
      <c r="B27" s="6"/>
      <c r="C27" s="40"/>
      <c r="I27" s="7"/>
      <c r="J27" s="9"/>
      <c r="K27" s="6"/>
      <c r="L27" s="8"/>
      <c r="M27" s="6"/>
    </row>
    <row r="28" spans="1:13" ht="54" customHeight="1">
      <c r="A28" s="5"/>
      <c r="B28" s="6"/>
      <c r="C28" s="40"/>
      <c r="D28" s="7"/>
      <c r="E28" s="6"/>
      <c r="F28" s="7"/>
      <c r="G28" s="7"/>
      <c r="H28" s="7"/>
      <c r="I28" s="6"/>
      <c r="J28" s="9"/>
      <c r="K28" s="6"/>
      <c r="L28" s="8"/>
      <c r="M28" s="6"/>
    </row>
    <row r="29" spans="1:13" ht="54" customHeight="1">
      <c r="A29" s="5"/>
      <c r="B29" s="6"/>
      <c r="C29" s="40"/>
      <c r="D29" s="7"/>
      <c r="E29" s="6"/>
      <c r="F29" s="7"/>
      <c r="G29" s="7"/>
      <c r="H29" s="7"/>
      <c r="I29" s="6"/>
      <c r="J29" s="9"/>
      <c r="K29" s="6"/>
      <c r="L29" s="8"/>
      <c r="M29" s="6"/>
    </row>
    <row r="30" spans="1:13" ht="54" customHeight="1">
      <c r="A30" s="5"/>
      <c r="B30" s="6"/>
      <c r="C30" s="40"/>
      <c r="D30" s="7"/>
      <c r="E30" s="6"/>
      <c r="F30" s="7"/>
      <c r="G30" s="7"/>
      <c r="H30" s="7"/>
      <c r="I30" s="6"/>
      <c r="J30" s="9"/>
      <c r="K30" s="6"/>
      <c r="L30" s="8"/>
      <c r="M30" s="6"/>
    </row>
    <row r="31" spans="1:13" ht="21.75" customHeight="1">
      <c r="A31" s="10"/>
      <c r="B31" s="11" t="s">
        <v>23</v>
      </c>
      <c r="C31" s="47" t="str">
        <f>CONCATENATE("OK ",COUNTIF(J6:J11,"OK"),"件　／　NG ",COUNTIF(J6:J11,"NG"),"件　／　未実施 ",COUNTIF(J6:J11,"未実施"),"件　／　合計 ",COUNTA(B6:B11),"件")</f>
        <v>OK 6件　／　NG 0件　／　未実施 0件　／　合計 6件</v>
      </c>
      <c r="D31" s="47"/>
      <c r="E31" s="47"/>
      <c r="F31" s="47"/>
      <c r="G31" s="47"/>
      <c r="H31" s="47"/>
      <c r="I31" s="47"/>
      <c r="J31" s="47"/>
      <c r="K31" s="47"/>
      <c r="L31" s="47"/>
      <c r="M31" s="47"/>
    </row>
  </sheetData>
  <mergeCells count="3">
    <mergeCell ref="A1:M1"/>
    <mergeCell ref="A2:M2"/>
    <mergeCell ref="C31:M31"/>
  </mergeCells>
  <phoneticPr fontId="12"/>
  <dataValidations count="1">
    <dataValidation type="list" allowBlank="1" sqref="J6:J30" xr:uid="{81768C5E-E6BC-4971-B3A5-0C25BE82D05B}">
      <formula1>"OK,NG,未実施,保留"</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10</vt:i4>
      </vt:variant>
    </vt:vector>
  </HeadingPairs>
  <TitlesOfParts>
    <vt:vector size="20" baseType="lpstr">
      <vt:lpstr>アカウント登録</vt:lpstr>
      <vt:lpstr>未登録社員取得</vt:lpstr>
      <vt:lpstr>認証</vt:lpstr>
      <vt:lpstr>商品登録</vt:lpstr>
      <vt:lpstr>検索</vt:lpstr>
      <vt:lpstr>修正</vt:lpstr>
      <vt:lpstr>削除</vt:lpstr>
      <vt:lpstr>詳細取得</vt:lpstr>
      <vt:lpstr>カテゴリ取得 </vt:lpstr>
      <vt:lpstr>カテゴリ登録</vt:lpstr>
      <vt:lpstr>アカウント登録!Print_Titles</vt:lpstr>
      <vt:lpstr>'カテゴリ取得 '!Print_Titles</vt:lpstr>
      <vt:lpstr>カテゴリ登録!Print_Titles</vt:lpstr>
      <vt:lpstr>検索!Print_Titles</vt:lpstr>
      <vt:lpstr>削除!Print_Titles</vt:lpstr>
      <vt:lpstr>修正!Print_Titles</vt:lpstr>
      <vt:lpstr>商品登録!Print_Titles</vt:lpstr>
      <vt:lpstr>詳細取得!Print_Titles</vt:lpstr>
      <vt:lpstr>認証!Print_Titles</vt:lpstr>
      <vt:lpstr>未登録社員取得!Print_Titles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渡邉 陽太</cp:lastModifiedBy>
  <cp:revision>0</cp:revision>
  <dcterms:created xsi:type="dcterms:W3CDTF">2026-06-13T04:44:58Z</dcterms:created>
  <dcterms:modified xsi:type="dcterms:W3CDTF">2026-07-21T02:43:00Z</dcterms:modified>
  <cp:category/>
  <cp:contentStatus/>
</cp:coreProperties>
</file>